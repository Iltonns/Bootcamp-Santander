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C2C93962861E008/"/>
    </mc:Choice>
  </mc:AlternateContent>
  <xr:revisionPtr revIDLastSave="408" documentId="11_7F4755BF84DCCE43E268565A8931F45BFA75341E" xr6:coauthVersionLast="47" xr6:coauthVersionMax="47" xr10:uidLastSave="{285DDC98-DEEA-48C3-A78B-2F45BF76287F}"/>
  <bookViews>
    <workbookView xWindow="-23148" yWindow="-108" windowWidth="23256" windowHeight="12456" firstSheet="3" activeTab="4" xr2:uid="{00000000-000D-0000-FFFF-FFFF00000000}"/>
  </bookViews>
  <sheets>
    <sheet name="Introdução" sheetId="1" r:id="rId1"/>
    <sheet name="Praticando" sheetId="2" r:id="rId2"/>
    <sheet name="ETL Com Power Query" sheetId="5" r:id="rId3"/>
    <sheet name="Analisando Ddos com Copilot" sheetId="7" r:id="rId4"/>
    <sheet name="Análise Visual" sheetId="9" r:id="rId5"/>
  </sheets>
  <definedNames>
    <definedName name="DadosExternos_1" localSheetId="3" hidden="1">'Analisando Ddos com Copilot'!$A$1:$K$65</definedName>
    <definedName name="DadosExternos_1" localSheetId="2" hidden="1">'ETL Com Power Query'!$A$1:$M$110</definedName>
  </definedNames>
  <calcPr calcId="191028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7" l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M20" i="7" s="1" a="1"/>
  <c r="M20" i="7" s="1"/>
  <c r="L21" i="7"/>
  <c r="L22" i="7"/>
  <c r="L23" i="7"/>
  <c r="L24" i="7"/>
  <c r="L25" i="7"/>
  <c r="L26" i="7"/>
  <c r="L27" i="7"/>
  <c r="L28" i="7"/>
  <c r="L29" i="7"/>
  <c r="L30" i="7"/>
  <c r="L31" i="7"/>
  <c r="L32" i="7"/>
  <c r="M32" i="7" s="1" a="1"/>
  <c r="M32" i="7" s="1"/>
  <c r="L33" i="7"/>
  <c r="L34" i="7"/>
  <c r="L35" i="7"/>
  <c r="L36" i="7"/>
  <c r="L37" i="7"/>
  <c r="L38" i="7"/>
  <c r="L39" i="7"/>
  <c r="L40" i="7"/>
  <c r="L41" i="7"/>
  <c r="L42" i="7"/>
  <c r="L43" i="7"/>
  <c r="L44" i="7"/>
  <c r="M44" i="7" s="1" a="1"/>
  <c r="M44" i="7" s="1"/>
  <c r="L45" i="7"/>
  <c r="L46" i="7"/>
  <c r="L47" i="7"/>
  <c r="L48" i="7"/>
  <c r="L49" i="7"/>
  <c r="L50" i="7"/>
  <c r="L51" i="7"/>
  <c r="M51" i="7" s="1" a="1"/>
  <c r="M51" i="7" s="1"/>
  <c r="L52" i="7"/>
  <c r="L53" i="7"/>
  <c r="L54" i="7"/>
  <c r="M54" i="7" s="1" a="1"/>
  <c r="M54" i="7" s="1"/>
  <c r="L55" i="7"/>
  <c r="M55" i="7" s="1" a="1"/>
  <c r="M55" i="7" s="1"/>
  <c r="L56" i="7"/>
  <c r="M56" i="7" s="1" a="1"/>
  <c r="M56" i="7" s="1"/>
  <c r="L57" i="7"/>
  <c r="L58" i="7"/>
  <c r="L59" i="7"/>
  <c r="L60" i="7"/>
  <c r="M60" i="7" s="1" a="1"/>
  <c r="M60" i="7" s="1"/>
  <c r="L61" i="7"/>
  <c r="M61" i="7" s="1" a="1"/>
  <c r="M61" i="7" s="1"/>
  <c r="L62" i="7"/>
  <c r="M62" i="7" s="1" a="1"/>
  <c r="M62" i="7" s="1"/>
  <c r="L63" i="7"/>
  <c r="M63" i="7" s="1" a="1"/>
  <c r="M63" i="7" s="1"/>
  <c r="L64" i="7"/>
  <c r="M64" i="7" s="1" a="1"/>
  <c r="M64" i="7" s="1"/>
  <c r="L65" i="7"/>
  <c r="M65" i="7" s="1" a="1"/>
  <c r="M65" i="7" s="1"/>
  <c r="J9" i="2"/>
  <c r="J8" i="2"/>
  <c r="J7" i="2"/>
  <c r="D5" i="1"/>
  <c r="E7" i="1"/>
  <c r="E6" i="1"/>
  <c r="E5" i="1"/>
  <c r="D7" i="1"/>
  <c r="D6" i="1"/>
  <c r="M13" i="7" l="1" a="1"/>
  <c r="M13" i="7" s="1"/>
  <c r="M12" i="7" a="1"/>
  <c r="M12" i="7" s="1"/>
  <c r="M11" i="7" a="1"/>
  <c r="M11" i="7" s="1"/>
  <c r="M36" i="7" a="1"/>
  <c r="M36" i="7" s="1"/>
  <c r="M47" i="7" a="1"/>
  <c r="M47" i="7" s="1"/>
  <c r="M35" i="7" a="1"/>
  <c r="M35" i="7" s="1"/>
  <c r="M23" i="7" a="1"/>
  <c r="M23" i="7" s="1"/>
  <c r="M46" i="7" a="1"/>
  <c r="M46" i="7" s="1"/>
  <c r="M34" i="7" a="1"/>
  <c r="M34" i="7" s="1"/>
  <c r="M22" i="7" a="1"/>
  <c r="M22" i="7" s="1"/>
  <c r="M10" i="7" a="1"/>
  <c r="M10" i="7" s="1"/>
  <c r="M49" i="7" a="1"/>
  <c r="M49" i="7" s="1"/>
  <c r="M37" i="7" a="1"/>
  <c r="M37" i="7" s="1"/>
  <c r="M25" i="7" a="1"/>
  <c r="M25" i="7" s="1"/>
  <c r="M48" i="7" a="1"/>
  <c r="M48" i="7" s="1"/>
  <c r="M24" i="7" a="1"/>
  <c r="M24" i="7" s="1"/>
  <c r="M59" i="7" a="1"/>
  <c r="M59" i="7" s="1"/>
  <c r="M58" i="7" a="1"/>
  <c r="M58" i="7" s="1"/>
  <c r="M57" i="7" a="1"/>
  <c r="M57" i="7" s="1"/>
  <c r="M45" i="7" a="1"/>
  <c r="M45" i="7" s="1"/>
  <c r="M33" i="7" a="1"/>
  <c r="M33" i="7" s="1"/>
  <c r="M21" i="7" a="1"/>
  <c r="M21" i="7" s="1"/>
  <c r="M9" i="7" a="1"/>
  <c r="M9" i="7" s="1"/>
  <c r="M8" i="7" a="1"/>
  <c r="M8" i="7" s="1"/>
  <c r="M7" i="7" a="1"/>
  <c r="M7" i="7" s="1"/>
  <c r="M6" i="7" a="1"/>
  <c r="M6" i="7" s="1"/>
  <c r="M43" i="7" a="1"/>
  <c r="M43" i="7" s="1"/>
  <c r="M31" i="7" a="1"/>
  <c r="M31" i="7" s="1"/>
  <c r="M19" i="7" a="1"/>
  <c r="M19" i="7" s="1"/>
  <c r="M42" i="7" a="1"/>
  <c r="M42" i="7" s="1"/>
  <c r="M18" i="7" a="1"/>
  <c r="M18" i="7" s="1"/>
  <c r="M53" i="7" a="1"/>
  <c r="M53" i="7" s="1"/>
  <c r="M41" i="7" a="1"/>
  <c r="M41" i="7" s="1"/>
  <c r="M29" i="7" a="1"/>
  <c r="M29" i="7" s="1"/>
  <c r="M17" i="7" a="1"/>
  <c r="M17" i="7" s="1"/>
  <c r="M5" i="7" a="1"/>
  <c r="M5" i="7" s="1"/>
  <c r="M30" i="7" a="1"/>
  <c r="M30" i="7" s="1"/>
  <c r="M52" i="7" a="1"/>
  <c r="M52" i="7" s="1"/>
  <c r="M40" i="7" a="1"/>
  <c r="M40" i="7" s="1"/>
  <c r="M28" i="7" a="1"/>
  <c r="M28" i="7" s="1"/>
  <c r="M16" i="7" a="1"/>
  <c r="M16" i="7" s="1"/>
  <c r="M4" i="7" a="1"/>
  <c r="M4" i="7" s="1"/>
  <c r="M3" i="7" a="1"/>
  <c r="M3" i="7" s="1"/>
  <c r="M39" i="7" a="1"/>
  <c r="M39" i="7" s="1"/>
  <c r="M27" i="7" a="1"/>
  <c r="M27" i="7" s="1"/>
  <c r="M15" i="7" a="1"/>
  <c r="M15" i="7" s="1"/>
  <c r="M50" i="7" a="1"/>
  <c r="M50" i="7" s="1"/>
  <c r="M38" i="7" a="1"/>
  <c r="M38" i="7" s="1"/>
  <c r="M26" i="7" a="1"/>
  <c r="M26" i="7" s="1"/>
  <c r="M14" i="7" a="1"/>
  <c r="M14" i="7" s="1"/>
  <c r="M2" i="7" a="1"/>
  <c r="M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56364E-E951-4B8C-A58C-405FE69327E0}" keepAlive="1" name="Consulta - Planilha1" description="Conexão com a consulta 'Planilha1' na pasta de trabalho." type="5" refreshedVersion="8" background="1" saveData="1">
    <dbPr connection="Provider=Microsoft.Mashup.OleDb.1;Data Source=$Workbook$;Location=Planilha1;Extended Properties=&quot;&quot;" command="SELECT * FROM [Planilha1]"/>
  </connection>
  <connection id="2" xr16:uid="{556A20DA-279D-453A-AF15-FD35358EEB69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<sst xmlns="http://schemas.openxmlformats.org/spreadsheetml/2006/main" count="1408" uniqueCount="287">
  <si>
    <t>Loja</t>
  </si>
  <si>
    <t>Valor de vendas</t>
  </si>
  <si>
    <t>Congelado</t>
  </si>
  <si>
    <t>Não Congelado</t>
  </si>
  <si>
    <t>F4 =  para congelar uma formula</t>
  </si>
  <si>
    <t>Loja A</t>
  </si>
  <si>
    <t>Loja B</t>
  </si>
  <si>
    <t xml:space="preserve"> Loja C</t>
  </si>
  <si>
    <t>Backlog</t>
  </si>
  <si>
    <t>Task</t>
  </si>
  <si>
    <t>Owner</t>
  </si>
  <si>
    <t>Status</t>
  </si>
  <si>
    <t>Data</t>
  </si>
  <si>
    <t>Prioridade</t>
  </si>
  <si>
    <t>Gravar Curso Excel</t>
  </si>
  <si>
    <t>Felipão</t>
  </si>
  <si>
    <t>In Progress</t>
  </si>
  <si>
    <t>Total de atividades</t>
  </si>
  <si>
    <t>Criar Questionários</t>
  </si>
  <si>
    <t>Stuck</t>
  </si>
  <si>
    <t>Atvidades Concluidas</t>
  </si>
  <si>
    <t>Editar Video</t>
  </si>
  <si>
    <t>Núbia</t>
  </si>
  <si>
    <t>Cadastrar na Plataforma</t>
  </si>
  <si>
    <t>Aline</t>
  </si>
  <si>
    <t>Colocar uma Badge</t>
  </si>
  <si>
    <t>Elidiana</t>
  </si>
  <si>
    <t>Done</t>
  </si>
  <si>
    <t>Adicionar ao Bootcamp</t>
  </si>
  <si>
    <t>Atividades em Progresso</t>
  </si>
  <si>
    <t>Send Date</t>
  </si>
  <si>
    <t>Region</t>
  </si>
  <si>
    <t>Order Status</t>
  </si>
  <si>
    <t>E-commerce</t>
  </si>
  <si>
    <t>Stock Quantity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</si>
  <si>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</si>
  <si>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</si>
  <si>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</si>
  <si>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</si>
  <si>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</si>
  <si>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</si>
  <si>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Pending</t>
  </si>
  <si>
    <t>GameShop</t>
  </si>
  <si>
    <t>Crystal Haynes</t>
  </si>
  <si>
    <t>Free</t>
  </si>
  <si>
    <t>First Party</t>
  </si>
  <si>
    <t>Craig Green</t>
  </si>
  <si>
    <t>12+</t>
  </si>
  <si>
    <t xml:space="preserve">Pokémon Sword </t>
  </si>
  <si>
    <t>PlayWorld</t>
  </si>
  <si>
    <t>Edgar Vargas</t>
  </si>
  <si>
    <t>10+</t>
  </si>
  <si>
    <t>Completed</t>
  </si>
  <si>
    <t>Lisa Archer</t>
  </si>
  <si>
    <t xml:space="preserve">Pokémon Shield </t>
  </si>
  <si>
    <t>DigitalStore</t>
  </si>
  <si>
    <t>Louis Phillips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</si>
  <si>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</si>
  <si>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</si>
  <si>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</si>
  <si>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</si>
  <si>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</si>
  <si>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</si>
  <si>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</si>
  <si>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</si>
  <si>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</si>
  <si>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</si>
  <si>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</si>
  <si>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</si>
  <si>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</si>
  <si>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</si>
  <si>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</si>
  <si>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</si>
  <si>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</si>
  <si>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</si>
  <si>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</si>
  <si>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</si>
  <si>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</si>
  <si>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</si>
  <si>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</si>
  <si>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</si>
  <si>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</si>
  <si>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</si>
  <si>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</si>
  <si>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</si>
  <si>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</si>
  <si>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</si>
  <si>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</si>
  <si>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</si>
  <si>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</si>
  <si>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</si>
  <si>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</si>
  <si>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</si>
  <si>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</si>
  <si>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</si>
  <si>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</si>
  <si>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</si>
  <si>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</si>
  <si>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</si>
  <si>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</si>
  <si>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</si>
  <si>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</si>
  <si>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</si>
  <si>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</si>
  <si>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</si>
  <si>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</si>
  <si>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</si>
  <si>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</si>
  <si>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</si>
  <si>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</si>
  <si>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</si>
  <si>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</si>
  <si>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</si>
  <si>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</si>
  <si>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</si>
  <si>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</si>
  <si>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</si>
  <si>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</si>
  <si>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</si>
  <si>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</si>
  <si>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</si>
  <si>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</si>
  <si>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</si>
  <si>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</si>
  <si>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</si>
  <si>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</si>
  <si>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</si>
  <si>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</si>
  <si>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</si>
  <si>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</si>
  <si>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</si>
  <si>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</si>
  <si>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</si>
  <si>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</si>
  <si>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</si>
  <si>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</si>
  <si>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</si>
  <si>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</si>
  <si>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</si>
  <si>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</si>
  <si>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</si>
  <si>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</si>
  <si>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</si>
  <si>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</si>
  <si>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</si>
  <si>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</si>
  <si>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</si>
  <si>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</si>
  <si>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</si>
  <si>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</si>
  <si>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</si>
  <si>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</si>
  <si>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</si>
  <si>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</si>
  <si>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</si>
  <si>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</si>
  <si>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</si>
  <si>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</si>
  <si>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</si>
  <si>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</si>
  <si>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</si>
  <si>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</si>
  <si>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</si>
  <si>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</si>
  <si>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</si>
  <si>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</si>
  <si>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</si>
  <si>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</si>
  <si>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</si>
  <si>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</si>
  <si>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</si>
  <si>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</si>
  <si>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</si>
  <si>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</si>
  <si>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</si>
  <si>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</si>
  <si>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</si>
  <si>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</si>
  <si>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</si>
  <si>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</si>
  <si>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</si>
  <si>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</si>
  <si>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</si>
  <si>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</si>
  <si>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</si>
  <si>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</si>
  <si>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</si>
  <si>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</si>
  <si>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</si>
  <si>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</si>
  <si>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</si>
  <si>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</si>
  <si>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</si>
  <si>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</si>
  <si>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</si>
  <si>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</si>
  <si>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</si>
  <si>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</si>
  <si>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</si>
  <si>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</si>
  <si>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</si>
  <si>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</si>
  <si>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</si>
  <si>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</si>
  <si>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</si>
  <si>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</si>
  <si>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</si>
  <si>
    <t>Game Name</t>
  </si>
  <si>
    <t>Game Console</t>
  </si>
  <si>
    <t>Unit Price</t>
  </si>
  <si>
    <t>Total Price</t>
  </si>
  <si>
    <t>English</t>
  </si>
  <si>
    <t>202</t>
  </si>
  <si>
    <t>Portuguese</t>
  </si>
  <si>
    <t>Japanese</t>
  </si>
  <si>
    <t>047</t>
  </si>
  <si>
    <t>115</t>
  </si>
  <si>
    <t>Data da Venda</t>
  </si>
  <si>
    <t>Loja de Venda</t>
  </si>
  <si>
    <t>Modelo do Tênis</t>
  </si>
  <si>
    <t>Modelo de Tênis</t>
  </si>
  <si>
    <t>Preço de Venda (R$)</t>
  </si>
  <si>
    <t>Quantidade Vendida</t>
  </si>
  <si>
    <t>Cidade</t>
  </si>
  <si>
    <t>Idade do Comprador</t>
  </si>
  <si>
    <t>Gênero do Comprador</t>
  </si>
  <si>
    <t>Duplicidade ?</t>
  </si>
  <si>
    <t>Percentual de Vendas</t>
  </si>
  <si>
    <t>Nike Air Max 97</t>
  </si>
  <si>
    <t>Air Max 97</t>
  </si>
  <si>
    <t>São Paulo</t>
  </si>
  <si>
    <t>Masculino</t>
  </si>
  <si>
    <t>Único</t>
  </si>
  <si>
    <t>Nike Revolution 5</t>
  </si>
  <si>
    <t>Revolution 5</t>
  </si>
  <si>
    <t>Rio de Janeiro</t>
  </si>
  <si>
    <t>Feminino</t>
  </si>
  <si>
    <t>Loja C</t>
  </si>
  <si>
    <t>Nike Air Zoom Pegasus</t>
  </si>
  <si>
    <t>Air Zoom Pegasus</t>
  </si>
  <si>
    <t>Belo Horizonte</t>
  </si>
  <si>
    <t>Nike Air Force 1</t>
  </si>
  <si>
    <t>Air Force 1</t>
  </si>
  <si>
    <t>Curitiba</t>
  </si>
  <si>
    <t>Nike Air Max 270</t>
  </si>
  <si>
    <t>Air Max 270</t>
  </si>
  <si>
    <t>Porto Alegre</t>
  </si>
  <si>
    <t>Nike Dunk Low</t>
  </si>
  <si>
    <t>Dunk Low</t>
  </si>
  <si>
    <t>Salvador</t>
  </si>
  <si>
    <t>Nike SB Chron 2</t>
  </si>
  <si>
    <t>SB Chron 2</t>
  </si>
  <si>
    <t>Fortaleza</t>
  </si>
  <si>
    <t>Nike Air VaporMax</t>
  </si>
  <si>
    <t>Air VaporMax</t>
  </si>
  <si>
    <t>Recife</t>
  </si>
  <si>
    <t>Nike Joyride</t>
  </si>
  <si>
    <t>Joyride</t>
  </si>
  <si>
    <t>Manaus</t>
  </si>
  <si>
    <t>Nike Metcon 6</t>
  </si>
  <si>
    <t>Metcon 6</t>
  </si>
  <si>
    <t>Brasília</t>
  </si>
  <si>
    <t>Goiânia</t>
  </si>
  <si>
    <t>Campo Grande</t>
  </si>
  <si>
    <t>Florianópolis</t>
  </si>
  <si>
    <t>São Luís</t>
  </si>
  <si>
    <t>Natal</t>
  </si>
  <si>
    <t>Teresina</t>
  </si>
  <si>
    <t>João Pessoa</t>
  </si>
  <si>
    <t>Aracaju</t>
  </si>
  <si>
    <t>Maceió</t>
  </si>
  <si>
    <t>Palmas</t>
  </si>
  <si>
    <t>Vitória</t>
  </si>
  <si>
    <t>Cuiabá</t>
  </si>
  <si>
    <t>Belém</t>
  </si>
  <si>
    <t>Porto Velho</t>
  </si>
  <si>
    <t>Boa Vista</t>
  </si>
  <si>
    <t>Macapá</t>
  </si>
  <si>
    <t>Rio Branco</t>
  </si>
  <si>
    <t>Preço Total de Venda</t>
  </si>
  <si>
    <t>Percentual da loja</t>
  </si>
  <si>
    <t>Indicador</t>
  </si>
  <si>
    <t>Receita Total</t>
  </si>
  <si>
    <t>Ticket Médio</t>
  </si>
  <si>
    <t>Idade Média do Comprador</t>
  </si>
  <si>
    <t>Soma de Valor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</si>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</sst>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\-yy;@"/>
    <numFmt numFmtId="169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2" xfId="0" applyFill="1" applyBorder="1"/>
    <xf numFmtId="0" fontId="1" fillId="0" borderId="1" xfId="1" applyFill="1"/>
    <xf numFmtId="0" fontId="1" fillId="0" borderId="1" xfId="1" applyFill="1" applyAlignment="1">
      <alignment horizontal="center" wrapText="1"/>
    </xf>
    <xf numFmtId="0" fontId="3" fillId="0" borderId="1" xfId="1" applyFont="1" applyFill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164" fontId="0" fillId="6" borderId="2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pivotButton="1"/>
    <xf numFmtId="169" fontId="0" fillId="0" borderId="0" xfId="0" applyNumberFormat="1"/>
    <xf numFmtId="2" fontId="0" fillId="0" borderId="0" xfId="0" applyNumberFormat="1"/>
  </cellXfs>
  <cellStyles count="2">
    <cellStyle name="Normal" xfId="0" builtinId="0"/>
    <cellStyle name="Título 2" xfId="1" builtinId="17"/>
  </cellStyles>
  <dxfs count="32">
    <dxf>
      <numFmt numFmtId="2" formatCode="0.00"/>
    </dxf>
    <dxf>
      <numFmt numFmtId="2" formatCode="0.00"/>
    </dxf>
    <dxf>
      <numFmt numFmtId="169" formatCode="&quot;R$&quot;\ #,##0.00"/>
    </dxf>
    <dxf>
      <numFmt numFmtId="14" formatCode="0.00%"/>
      <alignment horizontal="center" vertical="bottom" textRotation="0" wrapText="0" indent="0" justifyLastLine="0" shrinkToFit="0" readingOrder="0"/>
    </dxf>
    <dxf>
      <numFmt numFmtId="169" formatCode="&quot;R$&quot;\ #,##0.00"/>
      <alignment horizontal="center" vertical="bottom" textRotation="0" wrapText="0" indent="0" justifyLastLine="0" shrinkToFit="0" readingOrder="0"/>
    </dxf>
    <dxf>
      <numFmt numFmtId="169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00B0F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16357377438378E-2"/>
          <c:y val="3.5056967572304996E-2"/>
          <c:w val="0.62962962962962965"/>
          <c:h val="0.960738496644974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Praticando!$I$7</c:f>
              <c:strCache>
                <c:ptCount val="1"/>
                <c:pt idx="0">
                  <c:v>Total de atividades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Praticando!$J$7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1-451E-B64B-C214F3E64FFC}"/>
            </c:ext>
          </c:extLst>
        </c:ser>
        <c:ser>
          <c:idx val="1"/>
          <c:order val="1"/>
          <c:tx>
            <c:strRef>
              <c:f>Praticando!$I$8</c:f>
              <c:strCache>
                <c:ptCount val="1"/>
                <c:pt idx="0">
                  <c:v>Atvidades Concluidas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Praticando!$J$8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1-451E-B64B-C214F3E64FFC}"/>
            </c:ext>
          </c:extLst>
        </c:ser>
        <c:ser>
          <c:idx val="2"/>
          <c:order val="2"/>
          <c:tx>
            <c:strRef>
              <c:f>Praticando!$I$9</c:f>
              <c:strCache>
                <c:ptCount val="1"/>
                <c:pt idx="0">
                  <c:v>Atividades em Progresso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013400335008376"/>
                      <c:h val="8.75550065444273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2B1-451E-B64B-C214F3E64FFC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Praticando!$J$9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B1-451E-B64B-C214F3E64F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33420768"/>
        <c:axId val="1274240911"/>
      </c:barChart>
      <c:catAx>
        <c:axId val="1133420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4240911"/>
        <c:crosses val="autoZero"/>
        <c:auto val="1"/>
        <c:lblAlgn val="ctr"/>
        <c:lblOffset val="100"/>
        <c:noMultiLvlLbl val="0"/>
      </c:catAx>
      <c:valAx>
        <c:axId val="1274240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342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Dados com Excel e Copilot.xlsx]Análise Visual!PivotTable1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'Análise Visual'!$B$2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Visual'!$A$3:$A$6</c:f>
              <c:strCache>
                <c:ptCount val="3"/>
                <c:pt idx="0">
                  <c:v>Idade Média do Comprador</c:v>
                </c:pt>
                <c:pt idx="1">
                  <c:v>Receita Total</c:v>
                </c:pt>
                <c:pt idx="2">
                  <c:v>Ticket Médio</c:v>
                </c:pt>
              </c:strCache>
            </c:strRef>
          </c:cat>
          <c:val>
            <c:numRef>
              <c:f>'Análise Visual'!$B$3:$B$6</c:f>
              <c:numCache>
                <c:formatCode>General</c:formatCode>
                <c:ptCount val="3"/>
                <c:pt idx="0">
                  <c:v>28.383333333333301</c:v>
                </c:pt>
                <c:pt idx="1">
                  <c:v>41536</c:v>
                </c:pt>
                <c:pt idx="2">
                  <c:v>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2-4E2D-A2D3-2642213AC9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12465344"/>
        <c:axId val="2112466304"/>
        <c:axId val="149315887"/>
      </c:bar3DChart>
      <c:catAx>
        <c:axId val="211246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2466304"/>
        <c:crosses val="autoZero"/>
        <c:auto val="1"/>
        <c:lblAlgn val="ctr"/>
        <c:lblOffset val="100"/>
        <c:noMultiLvlLbl val="0"/>
      </c:catAx>
      <c:valAx>
        <c:axId val="211246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2465344"/>
        <c:crosses val="autoZero"/>
        <c:crossBetween val="between"/>
      </c:valAx>
      <c:serAx>
        <c:axId val="14931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24663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525780</xdr:rowOff>
    </xdr:from>
    <xdr:to>
      <xdr:col>8</xdr:col>
      <xdr:colOff>91440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404C48-A417-434D-08E0-F8A0BC874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165735</xdr:rowOff>
    </xdr:from>
    <xdr:to>
      <xdr:col>4</xdr:col>
      <xdr:colOff>644395</xdr:colOff>
      <xdr:row>79</xdr:row>
      <xdr:rowOff>41910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3E4823B-72A3-3EFF-4250-813B5D4B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48235"/>
          <a:ext cx="5420230" cy="2545080"/>
        </a:xfrm>
        <a:prstGeom prst="rect">
          <a:avLst/>
        </a:prstGeom>
      </xdr:spPr>
    </xdr:pic>
    <xdr:clientData/>
  </xdr:twoCellAnchor>
  <xdr:twoCellAnchor editAs="oneCell">
    <xdr:from>
      <xdr:col>4</xdr:col>
      <xdr:colOff>871877</xdr:colOff>
      <xdr:row>66</xdr:row>
      <xdr:rowOff>106734</xdr:rowOff>
    </xdr:from>
    <xdr:to>
      <xdr:col>8</xdr:col>
      <xdr:colOff>567690</xdr:colOff>
      <xdr:row>79</xdr:row>
      <xdr:rowOff>34288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E4500F8-104D-C0F6-2494-3432BEA4C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7237" y="12679734"/>
          <a:ext cx="5144113" cy="2404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11430</xdr:rowOff>
    </xdr:from>
    <xdr:to>
      <xdr:col>9</xdr:col>
      <xdr:colOff>552450</xdr:colOff>
      <xdr:row>15</xdr:row>
      <xdr:rowOff>87630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A73C4B-E2F4-12D4-CF3D-5BE958BA2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ton Santos" refreshedDate="46006.704531597221" createdVersion="8" refreshedVersion="8" minRefreshableVersion="3" recordCount="3" xr:uid="{ACCB0D7F-0876-4D57-A1E1-4C4D78219D3F}">
  <cacheSource type="worksheet">
    <worksheetSource name="Tabela3"/>
  </cacheSource>
  <cacheFields count="2">
    <cacheField name="Indicador" numFmtId="0">
      <sharedItems count="3">
        <s v="Receita Total"/>
        <s v="Ticket Médio"/>
        <s v="Idade Média do Comprador"/>
      </sharedItems>
    </cacheField>
    <cacheField name="Valor" numFmtId="0">
      <sharedItems containsSemiMixedTypes="0" containsString="0" containsNumber="1" minValue="28.383333333333301" maxValue="415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1536"/>
  </r>
  <r>
    <x v="1"/>
    <n v="649"/>
  </r>
  <r>
    <x v="2"/>
    <n v="28.383333333333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66403-A3D1-4839-A8BD-1C3C78831743}" name="PivotTable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A2:B6" firstHeaderRow="1" firstDataRow="1" firstDataCol="1"/>
  <pivotFields count="2"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1" baseField="0" baseItem="0"/>
  </dataFields>
  <formats count="3">
    <format dxfId="2">
      <pivotArea outline="0" fieldPosition="0">
        <references count="1">
          <reference field="0" count="1" selected="0">
            <x v="1"/>
          </reference>
        </references>
      </pivotArea>
    </format>
    <format dxfId="1">
      <pivotArea outline="0" fieldPosition="0">
        <references count="1">
          <reference field="0" count="1" selected="0">
            <x v="0"/>
          </reference>
        </references>
      </pivotArea>
    </format>
    <format dxfId="0">
      <pivotArea outline="0" fieldPosition="0">
        <references count="1">
          <reference field="0" count="1" selected="0">
            <x v="2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AC2BD8F-1E97-42F8-BB62-E30DCB61DABA}" autoFormatId="16" applyNumberFormats="0" applyBorderFormats="0" applyFontFormats="0" applyPatternFormats="0" applyAlignmentFormats="0" applyWidthHeightFormats="0">
  <queryTableRefresh nextId="21">
    <queryTableFields count="13">
      <queryTableField id="13" name="Game Name" tableColumnId="13"/>
      <queryTableField id="14" name="Game Console" tableColumnId="14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15" name="Unit Price" tableColumnId="15"/>
      <queryTableField id="16" name="Total Price" tableColumnId="16"/>
      <queryTableField id="9" name="Store Manager" tableColumnId="9"/>
      <queryTableField id="10" name="Batch" tableColumnId="10"/>
      <queryTableField id="11" name="Age Rating" tableColumnId="11"/>
      <queryTableField id="12" name="Publisher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3443C61-407D-47C8-9BB5-404720E06985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Data da Venda" tableColumnId="1"/>
      <queryTableField id="2" name="Loja de Venda" tableColumnId="2"/>
      <queryTableField id="3" name="Modelo do Tênis" tableColumnId="3"/>
      <queryTableField id="4" name="Modelo de Tênis" tableColumnId="4"/>
      <queryTableField id="5" name="Preço de Venda (R$)" tableColumnId="5"/>
      <queryTableField id="6" name="Quantidade Vendida" tableColumnId="6"/>
      <queryTableField id="7" name="Cidade" tableColumnId="7"/>
      <queryTableField id="8" name="Idade do Comprador" tableColumnId="8"/>
      <queryTableField id="9" name="Gênero do Comprador" tableColumnId="9"/>
      <queryTableField id="10" name="Duplicidade ?" tableColumnId="10"/>
      <queryTableField id="11" name="Percentual de Vendas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DF3AE-A2D5-45AE-9917-7F2AC3E128DC}" name="SAP_EXTRACT" displayName="SAP_EXTRACT" ref="A1:M110" tableType="queryTable" totalsRowShown="0">
  <autoFilter ref="A1:M110" xr:uid="{4B8DF3AE-A2D5-45AE-9917-7F2AC3E128DC}"/>
  <tableColumns count="13">
    <tableColumn id="13" xr3:uid="{5675A810-722F-4ECE-B467-6C3B2A8CEC35}" uniqueName="13" name="Game Name" queryTableFieldId="13" dataDxfId="28"/>
    <tableColumn id="14" xr3:uid="{C723732B-D80A-4EFB-A8D4-9C64327A9500}" uniqueName="14" name="Game Console" queryTableFieldId="14" dataDxfId="27"/>
    <tableColumn id="3" xr3:uid="{A2A219E8-1827-429D-AC5D-2D1E4CC6347A}" uniqueName="3" name="Send Date" queryTableFieldId="3" dataDxfId="26"/>
    <tableColumn id="4" xr3:uid="{ACDE8462-29E8-4B38-9D2B-3A9D097C74DC}" uniqueName="4" name="Region" queryTableFieldId="4" dataDxfId="25"/>
    <tableColumn id="5" xr3:uid="{A9776BA6-E177-422E-9FEF-F76B7C788BF8}" uniqueName="5" name="Order Status" queryTableFieldId="5" dataDxfId="24"/>
    <tableColumn id="6" xr3:uid="{8E66DC90-59E0-4005-B9DA-7AE294720699}" uniqueName="6" name="E-commerce" queryTableFieldId="6" dataDxfId="23"/>
    <tableColumn id="7" xr3:uid="{EDFC146C-ED2C-4393-8E2D-D6E2AC8C8B8E}" uniqueName="7" name="Stock Quantity" queryTableFieldId="7" dataDxfId="22"/>
    <tableColumn id="15" xr3:uid="{91BCC99D-55A3-4F90-9542-CDE36897F2CE}" uniqueName="15" name="Unit Price" queryTableFieldId="15"/>
    <tableColumn id="16" xr3:uid="{875B7321-6FA8-4511-BAB4-189A47ED960C}" uniqueName="16" name="Total Price" queryTableFieldId="16"/>
    <tableColumn id="9" xr3:uid="{A2BEACD4-15BF-41A8-9215-AABFA7435599}" uniqueName="9" name="Store Manager" queryTableFieldId="9" dataDxfId="21"/>
    <tableColumn id="10" xr3:uid="{00CC5D75-55C1-4320-994B-49DE9577DAC2}" uniqueName="10" name="Batch" queryTableFieldId="10" dataDxfId="20"/>
    <tableColumn id="11" xr3:uid="{3FA3EB1A-2F6C-45C9-95EF-B4B1392A9280}" uniqueName="11" name="Age Rating" queryTableFieldId="11" dataDxfId="19"/>
    <tableColumn id="12" xr3:uid="{7C07BF58-B651-4D48-BC4A-8876650ECDC8}" uniqueName="12" name="Publisher" queryTableFieldId="12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25549F-200C-46CA-9E06-B9C3BB5596E0}" name="Planilha1" displayName="Planilha1" ref="A1:M65" tableType="queryTable" totalsRowShown="0" headerRowDxfId="8" dataDxfId="7">
  <autoFilter ref="A1:M65" xr:uid="{7425549F-200C-46CA-9E06-B9C3BB5596E0}"/>
  <tableColumns count="13">
    <tableColumn id="1" xr3:uid="{32ECFD79-F61B-47E8-8009-AE8C7DE82DFA}" uniqueName="1" name="Data da Venda" queryTableFieldId="1" dataDxfId="17"/>
    <tableColumn id="2" xr3:uid="{00CA4AAF-E3AF-4E85-AF06-838850F05AE4}" uniqueName="2" name="Loja de Venda" queryTableFieldId="2" dataDxfId="16"/>
    <tableColumn id="3" xr3:uid="{D589A559-E017-4420-BC33-6D5FCF780297}" uniqueName="3" name="Modelo do Tênis" queryTableFieldId="3" dataDxfId="15"/>
    <tableColumn id="4" xr3:uid="{826A99AB-56B6-426A-8722-DC472390BD90}" uniqueName="4" name="Modelo de Tênis" queryTableFieldId="4" dataDxfId="14"/>
    <tableColumn id="5" xr3:uid="{7F5E4154-6922-40BD-9F4A-17091122DAA7}" uniqueName="5" name="Preço de Venda (R$)" queryTableFieldId="5" dataDxfId="4"/>
    <tableColumn id="6" xr3:uid="{DD7A0E4D-BE37-404C-AD28-E8D3260156EB}" uniqueName="6" name="Quantidade Vendida" queryTableFieldId="6" dataDxfId="13"/>
    <tableColumn id="7" xr3:uid="{65B50C05-4B65-4278-BFD9-411246E47856}" uniqueName="7" name="Cidade" queryTableFieldId="7" dataDxfId="12"/>
    <tableColumn id="8" xr3:uid="{A77B9676-D564-408F-9EE6-16D9FC2885CF}" uniqueName="8" name="Idade do Comprador" queryTableFieldId="8" dataDxfId="11"/>
    <tableColumn id="9" xr3:uid="{6D0FDF64-1C5D-4D29-9D13-96849330D2E5}" uniqueName="9" name="Gênero do Comprador" queryTableFieldId="9" dataDxfId="10"/>
    <tableColumn id="10" xr3:uid="{1CBBBE0A-5177-4297-A50A-FDF8B489EEE5}" uniqueName="10" name="Duplicidade ?" queryTableFieldId="10" dataDxfId="9"/>
    <tableColumn id="11" xr3:uid="{1B43425E-3FA9-489D-86FA-4E7B069DC267}" uniqueName="11" name="Percentual de Vendas" queryTableFieldId="11" dataDxfId="6"/>
    <tableColumn id="12" xr3:uid="{9AE10D4B-B6EA-4528-97AF-AE87780A46F9}" uniqueName="12" name="Preço Total de Venda" queryTableFieldId="12" dataDxfId="5">
      <calculatedColumnFormula>Planilha1[[#This Row],[Preço de Venda (R$)]]*Planilha1[[#This Row],[Quantidade Vendida]]</calculatedColumnFormula>
    </tableColumn>
    <tableColumn id="13" xr3:uid="{8F240C2B-DFD0-4008-BB22-53913416FFFE}" uniqueName="13" name="Percentual da loja" queryTableFieldId="13" dataDxfId="3">
      <calculatedColumnFormula array="1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3BD92B-43A9-41E3-A435-D5FFCD05CE99}">
  <we:reference id="wa200007447" version="1.0.0.0" store="pt-BR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4:K7"/>
  <sheetViews>
    <sheetView showGridLines="0" workbookViewId="0">
      <selection activeCell="I14" sqref="I14"/>
    </sheetView>
  </sheetViews>
  <sheetFormatPr defaultRowHeight="15" x14ac:dyDescent="0.25"/>
  <cols>
    <col min="2" max="2" width="8" customWidth="1"/>
    <col min="3" max="3" width="14.28515625" bestFit="1" customWidth="1"/>
    <col min="4" max="4" width="11" customWidth="1"/>
    <col min="5" max="5" width="14" bestFit="1" customWidth="1"/>
    <col min="9" max="9" width="27.85546875" customWidth="1"/>
  </cols>
  <sheetData>
    <row r="4" spans="2:11" x14ac:dyDescent="0.25">
      <c r="B4" s="2" t="s">
        <v>0</v>
      </c>
      <c r="C4" s="2" t="s">
        <v>1</v>
      </c>
      <c r="D4" s="1" t="s">
        <v>2</v>
      </c>
      <c r="E4" s="1" t="s">
        <v>3</v>
      </c>
      <c r="I4" s="4" t="s">
        <v>4</v>
      </c>
      <c r="J4" s="5"/>
      <c r="K4" s="5"/>
    </row>
    <row r="5" spans="2:11" x14ac:dyDescent="0.25">
      <c r="B5" s="3" t="s">
        <v>5</v>
      </c>
      <c r="C5" s="3">
        <v>485</v>
      </c>
      <c r="D5">
        <f>SUM($C$5:C5)</f>
        <v>485</v>
      </c>
      <c r="E5">
        <f>SUM(C5:C5)</f>
        <v>485</v>
      </c>
    </row>
    <row r="6" spans="2:11" x14ac:dyDescent="0.25">
      <c r="B6" s="3" t="s">
        <v>6</v>
      </c>
      <c r="C6" s="3">
        <v>481</v>
      </c>
      <c r="D6">
        <f>SUM($C$5:C6)</f>
        <v>966</v>
      </c>
      <c r="E6">
        <f>SUM(C6:C6)</f>
        <v>481</v>
      </c>
    </row>
    <row r="7" spans="2:11" x14ac:dyDescent="0.25">
      <c r="B7" s="3" t="s">
        <v>7</v>
      </c>
      <c r="C7" s="3">
        <v>149</v>
      </c>
      <c r="D7">
        <f>SUM($C$5:C7)</f>
        <v>1115</v>
      </c>
      <c r="E7">
        <f>SUM(C7:C7)</f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5485-F3C4-4ACD-A3B0-4CB1C652DB53}">
  <sheetPr>
    <tabColor rgb="FF00B0F0"/>
  </sheetPr>
  <dimension ref="B1:J16"/>
  <sheetViews>
    <sheetView showGridLines="0" zoomScaleNormal="100" workbookViewId="0">
      <selection activeCell="N10" sqref="N10"/>
    </sheetView>
  </sheetViews>
  <sheetFormatPr defaultRowHeight="15" x14ac:dyDescent="0.25"/>
  <cols>
    <col min="2" max="2" width="1.7109375" customWidth="1"/>
    <col min="3" max="3" width="29.42578125" customWidth="1"/>
    <col min="4" max="4" width="11.42578125" customWidth="1"/>
    <col min="5" max="5" width="13.85546875" customWidth="1"/>
    <col min="6" max="6" width="14.28515625" customWidth="1"/>
    <col min="7" max="7" width="16.42578125" customWidth="1"/>
    <col min="9" max="9" width="19.42578125" bestFit="1" customWidth="1"/>
    <col min="10" max="10" width="27.140625" bestFit="1" customWidth="1"/>
  </cols>
  <sheetData>
    <row r="1" spans="2:10" s="6" customFormat="1" x14ac:dyDescent="0.25"/>
    <row r="5" spans="2:10" ht="42.75" customHeight="1" x14ac:dyDescent="0.3">
      <c r="B5" s="8" t="s">
        <v>8</v>
      </c>
      <c r="C5" s="8"/>
      <c r="D5" s="8"/>
      <c r="E5" s="8"/>
      <c r="F5" s="8"/>
      <c r="G5" s="8"/>
    </row>
    <row r="6" spans="2:10" ht="19.5" customHeight="1" x14ac:dyDescent="0.3"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10" t="s">
        <v>13</v>
      </c>
    </row>
    <row r="7" spans="2:10" x14ac:dyDescent="0.25">
      <c r="B7" s="7"/>
      <c r="C7" s="11" t="s">
        <v>14</v>
      </c>
      <c r="D7" s="11" t="s">
        <v>15</v>
      </c>
      <c r="E7" s="12" t="s">
        <v>16</v>
      </c>
      <c r="F7" s="13">
        <v>45646</v>
      </c>
      <c r="G7" s="11">
        <v>1</v>
      </c>
      <c r="I7" t="s">
        <v>17</v>
      </c>
      <c r="J7">
        <f>COUNTA(C7:C16)</f>
        <v>6</v>
      </c>
    </row>
    <row r="8" spans="2:10" x14ac:dyDescent="0.25">
      <c r="B8" s="7"/>
      <c r="C8" s="11" t="s">
        <v>18</v>
      </c>
      <c r="D8" s="11" t="s">
        <v>15</v>
      </c>
      <c r="E8" s="11" t="s">
        <v>19</v>
      </c>
      <c r="F8" s="13">
        <v>45646</v>
      </c>
      <c r="G8" s="11">
        <v>4</v>
      </c>
      <c r="I8" t="s">
        <v>20</v>
      </c>
      <c r="J8">
        <f>COUNTIF($E$7:$E$16,"Done")</f>
        <v>2</v>
      </c>
    </row>
    <row r="9" spans="2:10" x14ac:dyDescent="0.25">
      <c r="B9" s="7"/>
      <c r="C9" s="11" t="s">
        <v>21</v>
      </c>
      <c r="D9" s="11" t="s">
        <v>22</v>
      </c>
      <c r="E9" s="11" t="s">
        <v>19</v>
      </c>
      <c r="F9" s="13">
        <v>45648</v>
      </c>
      <c r="G9" s="11">
        <v>4</v>
      </c>
      <c r="I9" t="s">
        <v>29</v>
      </c>
      <c r="J9">
        <f>COUNTIF($E$7:$E$16,"In Progress")</f>
        <v>1</v>
      </c>
    </row>
    <row r="10" spans="2:10" x14ac:dyDescent="0.25">
      <c r="B10" s="7"/>
      <c r="C10" s="11" t="s">
        <v>23</v>
      </c>
      <c r="D10" s="11" t="s">
        <v>24</v>
      </c>
      <c r="E10" s="11" t="s">
        <v>27</v>
      </c>
      <c r="F10" s="13">
        <v>45649</v>
      </c>
      <c r="G10" s="11">
        <v>4</v>
      </c>
    </row>
    <row r="11" spans="2:10" x14ac:dyDescent="0.25">
      <c r="B11" s="7"/>
      <c r="C11" s="11" t="s">
        <v>25</v>
      </c>
      <c r="D11" s="11" t="s">
        <v>26</v>
      </c>
      <c r="E11" s="11" t="s">
        <v>27</v>
      </c>
      <c r="F11" s="13">
        <v>45649</v>
      </c>
      <c r="G11" s="11">
        <v>3</v>
      </c>
    </row>
    <row r="12" spans="2:10" x14ac:dyDescent="0.25">
      <c r="B12" s="7"/>
      <c r="C12" s="11" t="s">
        <v>28</v>
      </c>
      <c r="D12" s="11" t="s">
        <v>26</v>
      </c>
      <c r="E12" s="11" t="s">
        <v>19</v>
      </c>
      <c r="F12" s="13">
        <v>45649</v>
      </c>
      <c r="G12" s="11">
        <v>4</v>
      </c>
    </row>
    <row r="13" spans="2:10" x14ac:dyDescent="0.25">
      <c r="B13" s="7"/>
      <c r="C13" s="11"/>
      <c r="D13" s="11"/>
      <c r="E13" s="11"/>
      <c r="F13" s="13"/>
      <c r="G13" s="11"/>
    </row>
    <row r="14" spans="2:10" x14ac:dyDescent="0.25">
      <c r="B14" s="7"/>
      <c r="C14" s="11"/>
      <c r="D14" s="11"/>
      <c r="E14" s="11"/>
      <c r="F14" s="13"/>
      <c r="G14" s="11"/>
    </row>
    <row r="15" spans="2:10" x14ac:dyDescent="0.25">
      <c r="B15" s="7"/>
      <c r="C15" s="11"/>
      <c r="D15" s="11"/>
      <c r="E15" s="11"/>
      <c r="F15" s="13"/>
      <c r="G15" s="11"/>
    </row>
    <row r="16" spans="2:10" x14ac:dyDescent="0.25">
      <c r="B16" s="7"/>
      <c r="C16" s="11"/>
      <c r="D16" s="11"/>
      <c r="E16" s="11"/>
      <c r="F16" s="13"/>
      <c r="G16" s="11"/>
    </row>
  </sheetData>
  <conditionalFormatting sqref="E7:E16">
    <cfRule type="expression" dxfId="31" priority="3" stopIfTrue="1">
      <formula>$E7="In Progress"</formula>
    </cfRule>
    <cfRule type="expression" dxfId="30" priority="4" stopIfTrue="1">
      <formula>$E7="Done"</formula>
    </cfRule>
    <cfRule type="expression" dxfId="29" priority="5" stopIfTrue="1">
      <formula>$E7="Stuck"</formula>
    </cfRule>
  </conditionalFormatting>
  <conditionalFormatting sqref="G7:G16">
    <cfRule type="iconSet" priority="1">
      <iconSet iconSet="4Rating" showValue="0">
        <cfvo type="percent" val="0"/>
        <cfvo type="num" val="2"/>
        <cfvo type="num" val="3"/>
        <cfvo type="num" val="4"/>
      </iconSet>
    </cfRule>
    <cfRule type="iconSet" priority="2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7:E16" xr:uid="{6A3F7D23-F0D7-485D-83BD-9DA496CBC312}">
      <formula1>"Stuck,In Progress,Done"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7B39-B660-4DB9-8DB0-3D85D3753C96}">
  <sheetPr>
    <tabColor theme="6" tint="0.39997558519241921"/>
  </sheetPr>
  <dimension ref="A1:M110"/>
  <sheetViews>
    <sheetView workbookViewId="0">
      <selection activeCell="C56" sqref="C56"/>
    </sheetView>
  </sheetViews>
  <sheetFormatPr defaultRowHeight="15" x14ac:dyDescent="0.25"/>
  <cols>
    <col min="1" max="1" width="41.5703125" bestFit="1" customWidth="1"/>
    <col min="2" max="2" width="16.7109375" bestFit="1" customWidth="1"/>
    <col min="3" max="3" width="12.5703125" bestFit="1" customWidth="1"/>
    <col min="4" max="4" width="10.85546875" bestFit="1" customWidth="1"/>
    <col min="5" max="5" width="14.5703125" bestFit="1" customWidth="1"/>
    <col min="6" max="6" width="14.7109375" bestFit="1" customWidth="1"/>
    <col min="7" max="7" width="16.5703125" bestFit="1" customWidth="1"/>
    <col min="8" max="8" width="12" bestFit="1" customWidth="1"/>
    <col min="9" max="9" width="12.7109375" bestFit="1" customWidth="1"/>
    <col min="10" max="10" width="21.7109375" customWidth="1"/>
    <col min="11" max="11" width="8.28515625" bestFit="1" customWidth="1"/>
    <col min="12" max="12" width="12.7109375" bestFit="1" customWidth="1"/>
    <col min="13" max="13" width="11.85546875" bestFit="1" customWidth="1"/>
    <col min="14" max="14" width="9.7109375" bestFit="1" customWidth="1"/>
    <col min="15" max="15" width="12.7109375" bestFit="1" customWidth="1"/>
    <col min="16" max="16" width="11.85546875" bestFit="1" customWidth="1"/>
  </cols>
  <sheetData>
    <row r="1" spans="1:13" x14ac:dyDescent="0.25">
      <c r="A1" t="s">
        <v>207</v>
      </c>
      <c r="B1" t="s">
        <v>208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209</v>
      </c>
      <c r="I1" t="s">
        <v>210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s="14" t="s">
        <v>39</v>
      </c>
      <c r="B2" s="14" t="s">
        <v>40</v>
      </c>
      <c r="C2" s="15">
        <v>45397</v>
      </c>
      <c r="D2" s="14" t="s">
        <v>211</v>
      </c>
      <c r="E2" s="14" t="s">
        <v>41</v>
      </c>
      <c r="F2" s="14" t="s">
        <v>42</v>
      </c>
      <c r="G2" s="14">
        <v>167</v>
      </c>
      <c r="H2">
        <v>50.07</v>
      </c>
      <c r="I2">
        <v>8361.69</v>
      </c>
      <c r="J2" s="14" t="s">
        <v>43</v>
      </c>
      <c r="K2" s="14" t="s">
        <v>212</v>
      </c>
      <c r="L2" s="14" t="s">
        <v>44</v>
      </c>
      <c r="M2" s="14" t="s">
        <v>45</v>
      </c>
    </row>
    <row r="3" spans="1:13" x14ac:dyDescent="0.25">
      <c r="A3" s="14" t="s">
        <v>39</v>
      </c>
      <c r="B3" s="14" t="s">
        <v>40</v>
      </c>
      <c r="C3" s="15">
        <v>45081</v>
      </c>
      <c r="D3" s="14" t="s">
        <v>213</v>
      </c>
      <c r="E3" s="14" t="s">
        <v>41</v>
      </c>
      <c r="F3" s="14" t="s">
        <v>42</v>
      </c>
      <c r="G3" s="14">
        <v>91</v>
      </c>
      <c r="H3">
        <v>49.16</v>
      </c>
      <c r="I3">
        <v>4473.5600000000004</v>
      </c>
      <c r="J3" s="14" t="s">
        <v>46</v>
      </c>
      <c r="K3" s="14" t="s">
        <v>212</v>
      </c>
      <c r="L3" s="14" t="s">
        <v>47</v>
      </c>
      <c r="M3" s="14" t="s">
        <v>45</v>
      </c>
    </row>
    <row r="4" spans="1:13" x14ac:dyDescent="0.25">
      <c r="A4" s="14" t="s">
        <v>48</v>
      </c>
      <c r="B4" s="14" t="s">
        <v>40</v>
      </c>
      <c r="C4" s="15">
        <v>45171</v>
      </c>
      <c r="D4" s="14" t="s">
        <v>214</v>
      </c>
      <c r="E4" s="14" t="s">
        <v>41</v>
      </c>
      <c r="F4" s="14" t="s">
        <v>49</v>
      </c>
      <c r="G4" s="14">
        <v>50</v>
      </c>
      <c r="H4">
        <v>57.54</v>
      </c>
      <c r="I4">
        <v>2877</v>
      </c>
      <c r="J4" s="14" t="s">
        <v>50</v>
      </c>
      <c r="K4" s="14" t="s">
        <v>215</v>
      </c>
      <c r="L4" s="14" t="s">
        <v>51</v>
      </c>
      <c r="M4" s="14" t="s">
        <v>45</v>
      </c>
    </row>
    <row r="5" spans="1:13" x14ac:dyDescent="0.25">
      <c r="A5" s="14" t="s">
        <v>48</v>
      </c>
      <c r="B5" s="14" t="s">
        <v>40</v>
      </c>
      <c r="C5" s="15">
        <v>45542</v>
      </c>
      <c r="D5" s="14" t="s">
        <v>214</v>
      </c>
      <c r="E5" s="14" t="s">
        <v>52</v>
      </c>
      <c r="F5" s="14" t="s">
        <v>42</v>
      </c>
      <c r="G5" s="14">
        <v>177</v>
      </c>
      <c r="H5">
        <v>52.33</v>
      </c>
      <c r="I5">
        <v>9262.41</v>
      </c>
      <c r="J5" s="14" t="s">
        <v>53</v>
      </c>
      <c r="K5" s="14" t="s">
        <v>215</v>
      </c>
      <c r="L5" s="14" t="s">
        <v>44</v>
      </c>
      <c r="M5" s="14" t="s">
        <v>45</v>
      </c>
    </row>
    <row r="6" spans="1:13" x14ac:dyDescent="0.25">
      <c r="A6" s="14" t="s">
        <v>54</v>
      </c>
      <c r="B6" s="14" t="s">
        <v>40</v>
      </c>
      <c r="C6" s="15">
        <v>45025</v>
      </c>
      <c r="D6" s="14" t="s">
        <v>214</v>
      </c>
      <c r="E6" s="14" t="s">
        <v>52</v>
      </c>
      <c r="F6" s="14" t="s">
        <v>55</v>
      </c>
      <c r="G6" s="14">
        <v>169</v>
      </c>
      <c r="H6">
        <v>53.19</v>
      </c>
      <c r="I6">
        <v>8989.11</v>
      </c>
      <c r="J6" s="14" t="s">
        <v>56</v>
      </c>
      <c r="K6" s="14" t="s">
        <v>216</v>
      </c>
      <c r="L6" s="14" t="s">
        <v>47</v>
      </c>
      <c r="M6" s="14" t="s">
        <v>45</v>
      </c>
    </row>
    <row r="7" spans="1:13" x14ac:dyDescent="0.25">
      <c r="A7" s="14" t="s">
        <v>57</v>
      </c>
      <c r="B7" s="14" t="s">
        <v>40</v>
      </c>
      <c r="C7" s="15">
        <v>45641</v>
      </c>
      <c r="D7" s="14" t="s">
        <v>214</v>
      </c>
      <c r="E7" s="14" t="s">
        <v>41</v>
      </c>
      <c r="F7" s="14" t="s">
        <v>49</v>
      </c>
      <c r="G7" s="14">
        <v>114</v>
      </c>
      <c r="H7">
        <v>40.270000000000003</v>
      </c>
      <c r="I7">
        <v>4590.78</v>
      </c>
      <c r="J7" s="14" t="s">
        <v>58</v>
      </c>
      <c r="K7" s="14" t="s">
        <v>212</v>
      </c>
      <c r="L7" s="14" t="s">
        <v>59</v>
      </c>
      <c r="M7" s="14" t="s">
        <v>45</v>
      </c>
    </row>
    <row r="8" spans="1:13" x14ac:dyDescent="0.25">
      <c r="A8" s="14" t="s">
        <v>39</v>
      </c>
      <c r="B8" s="14" t="s">
        <v>40</v>
      </c>
      <c r="C8" s="15">
        <v>45569</v>
      </c>
      <c r="D8" s="14" t="s">
        <v>211</v>
      </c>
      <c r="E8" s="14" t="s">
        <v>52</v>
      </c>
      <c r="F8" s="14" t="s">
        <v>42</v>
      </c>
      <c r="G8" s="14">
        <v>96</v>
      </c>
      <c r="H8">
        <v>47.64</v>
      </c>
      <c r="I8">
        <v>4573.4399999999996</v>
      </c>
      <c r="J8" s="14" t="s">
        <v>60</v>
      </c>
      <c r="K8" s="14" t="s">
        <v>215</v>
      </c>
      <c r="L8" s="14" t="s">
        <v>47</v>
      </c>
      <c r="M8" s="14" t="s">
        <v>45</v>
      </c>
    </row>
    <row r="9" spans="1:13" x14ac:dyDescent="0.25">
      <c r="A9" s="14" t="s">
        <v>57</v>
      </c>
      <c r="B9" s="14" t="s">
        <v>40</v>
      </c>
      <c r="C9" s="15">
        <v>45244</v>
      </c>
      <c r="D9" s="14" t="s">
        <v>211</v>
      </c>
      <c r="E9" s="14" t="s">
        <v>52</v>
      </c>
      <c r="F9" s="14" t="s">
        <v>55</v>
      </c>
      <c r="G9" s="14">
        <v>68</v>
      </c>
      <c r="H9">
        <v>55.31</v>
      </c>
      <c r="I9">
        <v>3761.08</v>
      </c>
      <c r="J9" s="14" t="s">
        <v>61</v>
      </c>
      <c r="K9" s="14" t="s">
        <v>216</v>
      </c>
      <c r="L9" s="14" t="s">
        <v>62</v>
      </c>
      <c r="M9" s="14" t="s">
        <v>45</v>
      </c>
    </row>
    <row r="10" spans="1:13" x14ac:dyDescent="0.25">
      <c r="A10" s="14" t="s">
        <v>48</v>
      </c>
      <c r="B10" s="14" t="s">
        <v>40</v>
      </c>
      <c r="C10" s="15">
        <v>45011</v>
      </c>
      <c r="D10" s="14" t="s">
        <v>214</v>
      </c>
      <c r="E10" s="14" t="s">
        <v>63</v>
      </c>
      <c r="F10" s="14" t="s">
        <v>55</v>
      </c>
      <c r="G10" s="14">
        <v>148</v>
      </c>
      <c r="H10">
        <v>44</v>
      </c>
      <c r="I10">
        <v>6512</v>
      </c>
      <c r="J10" s="14" t="s">
        <v>64</v>
      </c>
      <c r="K10" s="14" t="s">
        <v>212</v>
      </c>
      <c r="L10" s="14" t="s">
        <v>47</v>
      </c>
      <c r="M10" s="14" t="s">
        <v>45</v>
      </c>
    </row>
    <row r="11" spans="1:13" x14ac:dyDescent="0.25">
      <c r="A11" s="14" t="s">
        <v>39</v>
      </c>
      <c r="B11" s="14" t="s">
        <v>40</v>
      </c>
      <c r="C11" s="15">
        <v>45041</v>
      </c>
      <c r="D11" s="14" t="s">
        <v>213</v>
      </c>
      <c r="E11" s="14" t="s">
        <v>52</v>
      </c>
      <c r="F11" s="14" t="s">
        <v>49</v>
      </c>
      <c r="G11" s="14">
        <v>94</v>
      </c>
      <c r="H11">
        <v>40.200000000000003</v>
      </c>
      <c r="I11">
        <v>3778.8</v>
      </c>
      <c r="J11" s="14" t="s">
        <v>65</v>
      </c>
      <c r="K11" s="14" t="s">
        <v>216</v>
      </c>
      <c r="L11" s="14" t="s">
        <v>47</v>
      </c>
      <c r="M11" s="14" t="s">
        <v>45</v>
      </c>
    </row>
    <row r="12" spans="1:13" x14ac:dyDescent="0.25">
      <c r="A12" s="14" t="s">
        <v>66</v>
      </c>
      <c r="B12" s="14" t="s">
        <v>67</v>
      </c>
      <c r="C12" s="15">
        <v>45531</v>
      </c>
      <c r="D12" s="14" t="s">
        <v>213</v>
      </c>
      <c r="E12" s="14" t="s">
        <v>52</v>
      </c>
      <c r="F12" s="14" t="s">
        <v>42</v>
      </c>
      <c r="G12" s="14">
        <v>195</v>
      </c>
      <c r="H12">
        <v>34.840000000000003</v>
      </c>
      <c r="I12">
        <v>6793.8</v>
      </c>
      <c r="J12" s="14" t="s">
        <v>68</v>
      </c>
      <c r="K12" s="14" t="s">
        <v>216</v>
      </c>
      <c r="L12" s="14" t="s">
        <v>62</v>
      </c>
      <c r="M12" s="14" t="s">
        <v>45</v>
      </c>
    </row>
    <row r="13" spans="1:13" x14ac:dyDescent="0.25">
      <c r="A13" s="14" t="s">
        <v>69</v>
      </c>
      <c r="B13" s="14" t="s">
        <v>67</v>
      </c>
      <c r="C13" s="15">
        <v>45506</v>
      </c>
      <c r="D13" s="14" t="s">
        <v>213</v>
      </c>
      <c r="E13" s="14" t="s">
        <v>52</v>
      </c>
      <c r="F13" s="14" t="s">
        <v>55</v>
      </c>
      <c r="G13" s="14">
        <v>130</v>
      </c>
      <c r="H13">
        <v>44.53</v>
      </c>
      <c r="I13">
        <v>5788.9</v>
      </c>
      <c r="J13" s="14" t="s">
        <v>70</v>
      </c>
      <c r="K13" s="14" t="s">
        <v>215</v>
      </c>
      <c r="L13" s="14" t="s">
        <v>62</v>
      </c>
      <c r="M13" s="14" t="s">
        <v>45</v>
      </c>
    </row>
    <row r="14" spans="1:13" x14ac:dyDescent="0.25">
      <c r="A14" s="14" t="s">
        <v>69</v>
      </c>
      <c r="B14" s="14" t="s">
        <v>67</v>
      </c>
      <c r="C14" s="15">
        <v>45356</v>
      </c>
      <c r="D14" s="14" t="s">
        <v>211</v>
      </c>
      <c r="E14" s="14" t="s">
        <v>63</v>
      </c>
      <c r="F14" s="14" t="s">
        <v>49</v>
      </c>
      <c r="G14" s="14">
        <v>140</v>
      </c>
      <c r="H14">
        <v>19.73</v>
      </c>
      <c r="I14">
        <v>2762.2</v>
      </c>
      <c r="J14" s="14" t="s">
        <v>71</v>
      </c>
      <c r="K14" s="14" t="s">
        <v>216</v>
      </c>
      <c r="L14" s="14" t="s">
        <v>62</v>
      </c>
      <c r="M14" s="14" t="s">
        <v>45</v>
      </c>
    </row>
    <row r="15" spans="1:13" x14ac:dyDescent="0.25">
      <c r="A15" s="14" t="s">
        <v>72</v>
      </c>
      <c r="B15" s="14" t="s">
        <v>67</v>
      </c>
      <c r="C15" s="15">
        <v>45120</v>
      </c>
      <c r="D15" s="14" t="s">
        <v>211</v>
      </c>
      <c r="E15" s="14" t="s">
        <v>52</v>
      </c>
      <c r="F15" s="14" t="s">
        <v>55</v>
      </c>
      <c r="G15" s="14">
        <v>166</v>
      </c>
      <c r="H15">
        <v>17.45</v>
      </c>
      <c r="I15">
        <v>2896.7</v>
      </c>
      <c r="J15" s="14" t="s">
        <v>73</v>
      </c>
      <c r="K15" s="14" t="s">
        <v>216</v>
      </c>
      <c r="L15" s="14" t="s">
        <v>44</v>
      </c>
      <c r="M15" s="14" t="s">
        <v>45</v>
      </c>
    </row>
    <row r="16" spans="1:13" x14ac:dyDescent="0.25">
      <c r="A16" s="14" t="s">
        <v>66</v>
      </c>
      <c r="B16" s="14" t="s">
        <v>67</v>
      </c>
      <c r="C16" s="15">
        <v>45210</v>
      </c>
      <c r="D16" s="14" t="s">
        <v>211</v>
      </c>
      <c r="E16" s="14" t="s">
        <v>41</v>
      </c>
      <c r="F16" s="14" t="s">
        <v>42</v>
      </c>
      <c r="G16" s="14">
        <v>80</v>
      </c>
      <c r="H16">
        <v>40.450000000000003</v>
      </c>
      <c r="I16">
        <v>3236</v>
      </c>
      <c r="J16" s="14" t="s">
        <v>74</v>
      </c>
      <c r="K16" s="14" t="s">
        <v>212</v>
      </c>
      <c r="L16" s="14" t="s">
        <v>44</v>
      </c>
      <c r="M16" s="14" t="s">
        <v>45</v>
      </c>
    </row>
    <row r="17" spans="1:13" x14ac:dyDescent="0.25">
      <c r="A17" s="14" t="s">
        <v>75</v>
      </c>
      <c r="B17" s="14" t="s">
        <v>67</v>
      </c>
      <c r="C17" s="15">
        <v>45420</v>
      </c>
      <c r="D17" s="14" t="s">
        <v>211</v>
      </c>
      <c r="E17" s="14" t="s">
        <v>52</v>
      </c>
      <c r="F17" s="14" t="s">
        <v>55</v>
      </c>
      <c r="G17" s="14">
        <v>143</v>
      </c>
      <c r="H17">
        <v>16.54</v>
      </c>
      <c r="I17">
        <v>2365.2199999999998</v>
      </c>
      <c r="J17" s="14" t="s">
        <v>76</v>
      </c>
      <c r="K17" s="14" t="s">
        <v>215</v>
      </c>
      <c r="L17" s="14" t="s">
        <v>62</v>
      </c>
      <c r="M17" s="14" t="s">
        <v>45</v>
      </c>
    </row>
    <row r="18" spans="1:13" x14ac:dyDescent="0.25">
      <c r="A18" s="14" t="s">
        <v>75</v>
      </c>
      <c r="B18" s="14" t="s">
        <v>67</v>
      </c>
      <c r="C18" s="15">
        <v>45532</v>
      </c>
      <c r="D18" s="14" t="s">
        <v>213</v>
      </c>
      <c r="E18" s="14" t="s">
        <v>41</v>
      </c>
      <c r="F18" s="14" t="s">
        <v>42</v>
      </c>
      <c r="G18" s="14">
        <v>199</v>
      </c>
      <c r="H18">
        <v>23.82</v>
      </c>
      <c r="I18">
        <v>4740.18</v>
      </c>
      <c r="J18" s="14" t="s">
        <v>77</v>
      </c>
      <c r="K18" s="14" t="s">
        <v>215</v>
      </c>
      <c r="L18" s="14" t="s">
        <v>51</v>
      </c>
      <c r="M18" s="14" t="s">
        <v>45</v>
      </c>
    </row>
    <row r="19" spans="1:13" x14ac:dyDescent="0.25">
      <c r="A19" s="14" t="s">
        <v>69</v>
      </c>
      <c r="B19" s="14" t="s">
        <v>67</v>
      </c>
      <c r="C19" s="15">
        <v>44937</v>
      </c>
      <c r="D19" s="14" t="s">
        <v>211</v>
      </c>
      <c r="E19" s="14" t="s">
        <v>52</v>
      </c>
      <c r="F19" s="14" t="s">
        <v>55</v>
      </c>
      <c r="G19" s="14">
        <v>140</v>
      </c>
      <c r="H19">
        <v>41.62</v>
      </c>
      <c r="I19">
        <v>5826.8</v>
      </c>
      <c r="J19" s="14" t="s">
        <v>78</v>
      </c>
      <c r="K19" s="14" t="s">
        <v>215</v>
      </c>
      <c r="L19" s="14" t="s">
        <v>47</v>
      </c>
      <c r="M19" s="14" t="s">
        <v>45</v>
      </c>
    </row>
    <row r="20" spans="1:13" x14ac:dyDescent="0.25">
      <c r="A20" s="14" t="s">
        <v>75</v>
      </c>
      <c r="B20" s="14" t="s">
        <v>67</v>
      </c>
      <c r="C20" s="15">
        <v>45403</v>
      </c>
      <c r="D20" s="14" t="s">
        <v>213</v>
      </c>
      <c r="E20" s="14" t="s">
        <v>52</v>
      </c>
      <c r="F20" s="14" t="s">
        <v>49</v>
      </c>
      <c r="G20" s="14">
        <v>114</v>
      </c>
      <c r="H20">
        <v>40.58</v>
      </c>
      <c r="I20">
        <v>4626.12</v>
      </c>
      <c r="J20" s="14" t="s">
        <v>79</v>
      </c>
      <c r="K20" s="14" t="s">
        <v>216</v>
      </c>
      <c r="L20" s="14" t="s">
        <v>62</v>
      </c>
      <c r="M20" s="14" t="s">
        <v>45</v>
      </c>
    </row>
    <row r="21" spans="1:13" x14ac:dyDescent="0.25">
      <c r="A21" s="14" t="s">
        <v>69</v>
      </c>
      <c r="B21" s="14" t="s">
        <v>67</v>
      </c>
      <c r="C21" s="15">
        <v>45218</v>
      </c>
      <c r="D21" s="14" t="s">
        <v>214</v>
      </c>
      <c r="E21" s="14" t="s">
        <v>52</v>
      </c>
      <c r="F21" s="14" t="s">
        <v>42</v>
      </c>
      <c r="G21" s="14">
        <v>70</v>
      </c>
      <c r="H21">
        <v>18.05</v>
      </c>
      <c r="I21">
        <v>1263.5</v>
      </c>
      <c r="J21" s="14" t="s">
        <v>80</v>
      </c>
      <c r="K21" s="14" t="s">
        <v>212</v>
      </c>
      <c r="L21" s="14" t="s">
        <v>51</v>
      </c>
      <c r="M21" s="14" t="s">
        <v>45</v>
      </c>
    </row>
    <row r="22" spans="1:13" x14ac:dyDescent="0.25">
      <c r="A22" s="14" t="s">
        <v>72</v>
      </c>
      <c r="B22" s="14" t="s">
        <v>67</v>
      </c>
      <c r="C22" s="15">
        <v>45007</v>
      </c>
      <c r="D22" s="14" t="s">
        <v>214</v>
      </c>
      <c r="E22" s="14" t="s">
        <v>41</v>
      </c>
      <c r="F22" s="14" t="s">
        <v>55</v>
      </c>
      <c r="G22" s="14">
        <v>182</v>
      </c>
      <c r="H22">
        <v>33.49</v>
      </c>
      <c r="I22">
        <v>6095.18</v>
      </c>
      <c r="J22" s="14" t="s">
        <v>81</v>
      </c>
      <c r="K22" s="14" t="s">
        <v>215</v>
      </c>
      <c r="L22" s="14" t="s">
        <v>47</v>
      </c>
      <c r="M22" s="14" t="s">
        <v>45</v>
      </c>
    </row>
    <row r="23" spans="1:13" x14ac:dyDescent="0.25">
      <c r="A23" s="14" t="s">
        <v>69</v>
      </c>
      <c r="B23" s="14" t="s">
        <v>67</v>
      </c>
      <c r="C23" s="15">
        <v>45164</v>
      </c>
      <c r="D23" s="14" t="s">
        <v>213</v>
      </c>
      <c r="E23" s="14" t="s">
        <v>52</v>
      </c>
      <c r="F23" s="14" t="s">
        <v>49</v>
      </c>
      <c r="G23" s="14">
        <v>127</v>
      </c>
      <c r="H23">
        <v>29.68</v>
      </c>
      <c r="I23">
        <v>3769.36</v>
      </c>
      <c r="J23" s="14" t="s">
        <v>82</v>
      </c>
      <c r="K23" s="14" t="s">
        <v>216</v>
      </c>
      <c r="L23" s="14" t="s">
        <v>51</v>
      </c>
      <c r="M23" s="14" t="s">
        <v>45</v>
      </c>
    </row>
    <row r="24" spans="1:13" x14ac:dyDescent="0.25">
      <c r="A24" s="14" t="s">
        <v>72</v>
      </c>
      <c r="B24" s="14" t="s">
        <v>67</v>
      </c>
      <c r="C24" s="15">
        <v>44937</v>
      </c>
      <c r="D24" s="14" t="s">
        <v>214</v>
      </c>
      <c r="E24" s="14" t="s">
        <v>52</v>
      </c>
      <c r="F24" s="14" t="s">
        <v>42</v>
      </c>
      <c r="G24" s="14">
        <v>159</v>
      </c>
      <c r="H24">
        <v>42.94</v>
      </c>
      <c r="I24">
        <v>6827.46</v>
      </c>
      <c r="J24" s="14" t="s">
        <v>83</v>
      </c>
      <c r="K24" s="14" t="s">
        <v>215</v>
      </c>
      <c r="L24" s="14" t="s">
        <v>51</v>
      </c>
      <c r="M24" s="14" t="s">
        <v>45</v>
      </c>
    </row>
    <row r="25" spans="1:13" x14ac:dyDescent="0.25">
      <c r="A25" s="14" t="s">
        <v>69</v>
      </c>
      <c r="B25" s="14" t="s">
        <v>67</v>
      </c>
      <c r="C25" s="15">
        <v>45166</v>
      </c>
      <c r="D25" s="14" t="s">
        <v>213</v>
      </c>
      <c r="E25" s="14" t="s">
        <v>52</v>
      </c>
      <c r="F25" s="14" t="s">
        <v>49</v>
      </c>
      <c r="G25" s="14">
        <v>172</v>
      </c>
      <c r="H25">
        <v>18.79</v>
      </c>
      <c r="I25">
        <v>3231.88</v>
      </c>
      <c r="J25" s="14" t="s">
        <v>84</v>
      </c>
      <c r="K25" s="14" t="s">
        <v>212</v>
      </c>
      <c r="L25" s="14" t="s">
        <v>59</v>
      </c>
      <c r="M25" s="14" t="s">
        <v>45</v>
      </c>
    </row>
    <row r="26" spans="1:13" x14ac:dyDescent="0.25">
      <c r="A26" s="14" t="s">
        <v>66</v>
      </c>
      <c r="B26" s="14" t="s">
        <v>67</v>
      </c>
      <c r="C26" s="15">
        <v>45149</v>
      </c>
      <c r="D26" s="14" t="s">
        <v>213</v>
      </c>
      <c r="E26" s="14" t="s">
        <v>41</v>
      </c>
      <c r="F26" s="14" t="s">
        <v>55</v>
      </c>
      <c r="G26" s="14">
        <v>119</v>
      </c>
      <c r="H26">
        <v>40.26</v>
      </c>
      <c r="I26">
        <v>4790.9399999999996</v>
      </c>
      <c r="J26" s="14" t="s">
        <v>85</v>
      </c>
      <c r="K26" s="14" t="s">
        <v>215</v>
      </c>
      <c r="L26" s="14" t="s">
        <v>44</v>
      </c>
      <c r="M26" s="14" t="s">
        <v>45</v>
      </c>
    </row>
    <row r="27" spans="1:13" x14ac:dyDescent="0.25">
      <c r="A27" s="14" t="s">
        <v>66</v>
      </c>
      <c r="B27" s="14" t="s">
        <v>67</v>
      </c>
      <c r="C27" s="15">
        <v>45564</v>
      </c>
      <c r="D27" s="14" t="s">
        <v>214</v>
      </c>
      <c r="E27" s="14" t="s">
        <v>52</v>
      </c>
      <c r="F27" s="14" t="s">
        <v>49</v>
      </c>
      <c r="G27" s="14">
        <v>130</v>
      </c>
      <c r="H27">
        <v>42.91</v>
      </c>
      <c r="I27">
        <v>5578.3</v>
      </c>
      <c r="J27" s="14" t="s">
        <v>86</v>
      </c>
      <c r="K27" s="14" t="s">
        <v>215</v>
      </c>
      <c r="L27" s="14" t="s">
        <v>59</v>
      </c>
      <c r="M27" s="14" t="s">
        <v>45</v>
      </c>
    </row>
    <row r="28" spans="1:13" x14ac:dyDescent="0.25">
      <c r="A28" s="14" t="s">
        <v>75</v>
      </c>
      <c r="B28" s="14" t="s">
        <v>67</v>
      </c>
      <c r="C28" s="15">
        <v>45078</v>
      </c>
      <c r="D28" s="14" t="s">
        <v>213</v>
      </c>
      <c r="E28" s="14" t="s">
        <v>52</v>
      </c>
      <c r="F28" s="14" t="s">
        <v>42</v>
      </c>
      <c r="G28" s="14">
        <v>192</v>
      </c>
      <c r="H28">
        <v>32.39</v>
      </c>
      <c r="I28">
        <v>6218.88</v>
      </c>
      <c r="J28" s="14" t="s">
        <v>87</v>
      </c>
      <c r="K28" s="14" t="s">
        <v>215</v>
      </c>
      <c r="L28" s="14" t="s">
        <v>44</v>
      </c>
      <c r="M28" s="14" t="s">
        <v>45</v>
      </c>
    </row>
    <row r="29" spans="1:13" x14ac:dyDescent="0.25">
      <c r="A29" s="14" t="s">
        <v>88</v>
      </c>
      <c r="B29" s="14" t="s">
        <v>67</v>
      </c>
      <c r="C29" s="15">
        <v>45168</v>
      </c>
      <c r="D29" s="14" t="s">
        <v>211</v>
      </c>
      <c r="E29" s="14" t="s">
        <v>52</v>
      </c>
      <c r="F29" s="14" t="s">
        <v>55</v>
      </c>
      <c r="G29" s="14">
        <v>180</v>
      </c>
      <c r="H29">
        <v>22.68</v>
      </c>
      <c r="I29">
        <v>4082.4</v>
      </c>
      <c r="J29" s="14" t="s">
        <v>89</v>
      </c>
      <c r="K29" s="14" t="s">
        <v>212</v>
      </c>
      <c r="L29" s="14" t="s">
        <v>59</v>
      </c>
      <c r="M29" s="14" t="s">
        <v>45</v>
      </c>
    </row>
    <row r="30" spans="1:13" x14ac:dyDescent="0.25">
      <c r="A30" s="14" t="s">
        <v>72</v>
      </c>
      <c r="B30" s="14" t="s">
        <v>67</v>
      </c>
      <c r="C30" s="15">
        <v>45627</v>
      </c>
      <c r="D30" s="14" t="s">
        <v>213</v>
      </c>
      <c r="E30" s="14" t="s">
        <v>52</v>
      </c>
      <c r="F30" s="14" t="s">
        <v>49</v>
      </c>
      <c r="G30" s="14">
        <v>124</v>
      </c>
      <c r="H30">
        <v>20.96</v>
      </c>
      <c r="I30">
        <v>2599.04</v>
      </c>
      <c r="J30" s="14" t="s">
        <v>90</v>
      </c>
      <c r="K30" s="14" t="s">
        <v>216</v>
      </c>
      <c r="L30" s="14" t="s">
        <v>59</v>
      </c>
      <c r="M30" s="14" t="s">
        <v>45</v>
      </c>
    </row>
    <row r="31" spans="1:13" x14ac:dyDescent="0.25">
      <c r="A31" s="14" t="s">
        <v>75</v>
      </c>
      <c r="B31" s="14" t="s">
        <v>67</v>
      </c>
      <c r="C31" s="15">
        <v>45114</v>
      </c>
      <c r="D31" s="14" t="s">
        <v>214</v>
      </c>
      <c r="E31" s="14" t="s">
        <v>41</v>
      </c>
      <c r="F31" s="14" t="s">
        <v>55</v>
      </c>
      <c r="G31" s="14">
        <v>110</v>
      </c>
      <c r="H31">
        <v>19.46</v>
      </c>
      <c r="I31">
        <v>2140.6</v>
      </c>
      <c r="J31" s="14" t="s">
        <v>91</v>
      </c>
      <c r="K31" s="14" t="s">
        <v>216</v>
      </c>
      <c r="L31" s="14" t="s">
        <v>47</v>
      </c>
      <c r="M31" s="14" t="s">
        <v>45</v>
      </c>
    </row>
    <row r="32" spans="1:13" x14ac:dyDescent="0.25">
      <c r="A32" s="14" t="s">
        <v>92</v>
      </c>
      <c r="B32" s="14" t="s">
        <v>93</v>
      </c>
      <c r="C32" s="15">
        <v>45576</v>
      </c>
      <c r="D32" s="14" t="s">
        <v>214</v>
      </c>
      <c r="E32" s="14" t="s">
        <v>41</v>
      </c>
      <c r="F32" s="14" t="s">
        <v>49</v>
      </c>
      <c r="G32" s="14">
        <v>22</v>
      </c>
      <c r="H32">
        <v>13.47</v>
      </c>
      <c r="I32">
        <v>296.33999999999997</v>
      </c>
      <c r="J32" s="14" t="s">
        <v>94</v>
      </c>
      <c r="K32" s="14" t="s">
        <v>216</v>
      </c>
      <c r="L32" s="14" t="s">
        <v>51</v>
      </c>
      <c r="M32" s="14" t="s">
        <v>45</v>
      </c>
    </row>
    <row r="33" spans="1:13" x14ac:dyDescent="0.25">
      <c r="A33" s="14" t="s">
        <v>95</v>
      </c>
      <c r="B33" s="14" t="s">
        <v>93</v>
      </c>
      <c r="C33" s="15">
        <v>45403</v>
      </c>
      <c r="D33" s="14" t="s">
        <v>214</v>
      </c>
      <c r="E33" s="14" t="s">
        <v>63</v>
      </c>
      <c r="F33" s="14" t="s">
        <v>55</v>
      </c>
      <c r="G33" s="14">
        <v>23</v>
      </c>
      <c r="H33">
        <v>10.71</v>
      </c>
      <c r="I33">
        <v>246.33</v>
      </c>
      <c r="J33" s="14" t="s">
        <v>96</v>
      </c>
      <c r="K33" s="14" t="s">
        <v>215</v>
      </c>
      <c r="L33" s="14" t="s">
        <v>44</v>
      </c>
      <c r="M33" s="14" t="s">
        <v>45</v>
      </c>
    </row>
    <row r="34" spans="1:13" x14ac:dyDescent="0.25">
      <c r="A34" s="14" t="s">
        <v>95</v>
      </c>
      <c r="B34" s="14" t="s">
        <v>93</v>
      </c>
      <c r="C34" s="15">
        <v>45201</v>
      </c>
      <c r="D34" s="14" t="s">
        <v>214</v>
      </c>
      <c r="E34" s="14" t="s">
        <v>63</v>
      </c>
      <c r="F34" s="14" t="s">
        <v>49</v>
      </c>
      <c r="G34" s="14">
        <v>51</v>
      </c>
      <c r="H34">
        <v>20.66</v>
      </c>
      <c r="I34">
        <v>1053.6600000000001</v>
      </c>
      <c r="J34" s="14" t="s">
        <v>97</v>
      </c>
      <c r="K34" s="14" t="s">
        <v>212</v>
      </c>
      <c r="L34" s="14" t="s">
        <v>44</v>
      </c>
      <c r="M34" s="14" t="s">
        <v>45</v>
      </c>
    </row>
    <row r="35" spans="1:13" x14ac:dyDescent="0.25">
      <c r="A35" s="14" t="s">
        <v>98</v>
      </c>
      <c r="B35" s="14" t="s">
        <v>93</v>
      </c>
      <c r="C35" s="15">
        <v>45290</v>
      </c>
      <c r="D35" s="14" t="s">
        <v>213</v>
      </c>
      <c r="E35" s="14" t="s">
        <v>52</v>
      </c>
      <c r="F35" s="14" t="s">
        <v>49</v>
      </c>
      <c r="G35" s="14">
        <v>77</v>
      </c>
      <c r="H35">
        <v>28.33</v>
      </c>
      <c r="I35">
        <v>2181.41</v>
      </c>
      <c r="J35" s="14" t="s">
        <v>99</v>
      </c>
      <c r="K35" s="14" t="s">
        <v>212</v>
      </c>
      <c r="L35" s="14" t="s">
        <v>59</v>
      </c>
      <c r="M35" s="14" t="s">
        <v>45</v>
      </c>
    </row>
    <row r="36" spans="1:13" x14ac:dyDescent="0.25">
      <c r="A36" s="14" t="s">
        <v>98</v>
      </c>
      <c r="B36" s="14" t="s">
        <v>93</v>
      </c>
      <c r="C36" s="15">
        <v>45604</v>
      </c>
      <c r="D36" s="14" t="s">
        <v>213</v>
      </c>
      <c r="E36" s="14" t="s">
        <v>63</v>
      </c>
      <c r="F36" s="14" t="s">
        <v>49</v>
      </c>
      <c r="G36" s="14">
        <v>80</v>
      </c>
      <c r="H36">
        <v>24.35</v>
      </c>
      <c r="I36">
        <v>1948</v>
      </c>
      <c r="J36" s="14" t="s">
        <v>100</v>
      </c>
      <c r="K36" s="14" t="s">
        <v>212</v>
      </c>
      <c r="L36" s="14" t="s">
        <v>47</v>
      </c>
      <c r="M36" s="14" t="s">
        <v>45</v>
      </c>
    </row>
    <row r="37" spans="1:13" x14ac:dyDescent="0.25">
      <c r="A37" s="14" t="s">
        <v>98</v>
      </c>
      <c r="B37" s="14" t="s">
        <v>93</v>
      </c>
      <c r="C37" s="15">
        <v>45070</v>
      </c>
      <c r="D37" s="14" t="s">
        <v>214</v>
      </c>
      <c r="E37" s="14" t="s">
        <v>52</v>
      </c>
      <c r="F37" s="14" t="s">
        <v>55</v>
      </c>
      <c r="G37" s="14">
        <v>40</v>
      </c>
      <c r="H37">
        <v>19.95</v>
      </c>
      <c r="I37">
        <v>798</v>
      </c>
      <c r="J37" s="14" t="s">
        <v>101</v>
      </c>
      <c r="K37" s="14" t="s">
        <v>216</v>
      </c>
      <c r="L37" s="14" t="s">
        <v>51</v>
      </c>
      <c r="M37" s="14" t="s">
        <v>45</v>
      </c>
    </row>
    <row r="38" spans="1:13" x14ac:dyDescent="0.25">
      <c r="A38" s="14" t="s">
        <v>92</v>
      </c>
      <c r="B38" s="14" t="s">
        <v>93</v>
      </c>
      <c r="C38" s="15">
        <v>45602</v>
      </c>
      <c r="D38" s="14" t="s">
        <v>211</v>
      </c>
      <c r="E38" s="14" t="s">
        <v>52</v>
      </c>
      <c r="F38" s="14" t="s">
        <v>42</v>
      </c>
      <c r="G38" s="14">
        <v>100</v>
      </c>
      <c r="H38">
        <v>14.79</v>
      </c>
      <c r="I38">
        <v>1479</v>
      </c>
      <c r="J38" s="14" t="s">
        <v>102</v>
      </c>
      <c r="K38" s="14" t="s">
        <v>216</v>
      </c>
      <c r="L38" s="14" t="s">
        <v>44</v>
      </c>
      <c r="M38" s="14" t="s">
        <v>45</v>
      </c>
    </row>
    <row r="39" spans="1:13" x14ac:dyDescent="0.25">
      <c r="A39" s="14" t="s">
        <v>98</v>
      </c>
      <c r="B39" s="14" t="s">
        <v>93</v>
      </c>
      <c r="C39" s="15">
        <v>44957</v>
      </c>
      <c r="D39" s="14" t="s">
        <v>214</v>
      </c>
      <c r="E39" s="14" t="s">
        <v>52</v>
      </c>
      <c r="F39" s="14" t="s">
        <v>49</v>
      </c>
      <c r="G39" s="14">
        <v>73</v>
      </c>
      <c r="H39">
        <v>21.71</v>
      </c>
      <c r="I39">
        <v>1584.83</v>
      </c>
      <c r="J39" s="14" t="s">
        <v>103</v>
      </c>
      <c r="K39" s="14" t="s">
        <v>212</v>
      </c>
      <c r="L39" s="14" t="s">
        <v>59</v>
      </c>
      <c r="M39" s="14" t="s">
        <v>45</v>
      </c>
    </row>
    <row r="40" spans="1:13" x14ac:dyDescent="0.25">
      <c r="A40" s="14" t="s">
        <v>104</v>
      </c>
      <c r="B40" s="14" t="s">
        <v>93</v>
      </c>
      <c r="C40" s="15">
        <v>45544</v>
      </c>
      <c r="D40" s="14" t="s">
        <v>211</v>
      </c>
      <c r="E40" s="14" t="s">
        <v>52</v>
      </c>
      <c r="F40" s="14" t="s">
        <v>42</v>
      </c>
      <c r="G40" s="14">
        <v>29</v>
      </c>
      <c r="H40">
        <v>11.36</v>
      </c>
      <c r="I40">
        <v>329.44</v>
      </c>
      <c r="J40" s="14" t="s">
        <v>105</v>
      </c>
      <c r="K40" s="14" t="s">
        <v>215</v>
      </c>
      <c r="L40" s="14" t="s">
        <v>62</v>
      </c>
      <c r="M40" s="14" t="s">
        <v>45</v>
      </c>
    </row>
    <row r="41" spans="1:13" x14ac:dyDescent="0.25">
      <c r="A41" s="14" t="s">
        <v>95</v>
      </c>
      <c r="B41" s="14" t="s">
        <v>93</v>
      </c>
      <c r="C41" s="15">
        <v>45287</v>
      </c>
      <c r="D41" s="14" t="s">
        <v>213</v>
      </c>
      <c r="E41" s="14" t="s">
        <v>52</v>
      </c>
      <c r="F41" s="14" t="s">
        <v>55</v>
      </c>
      <c r="G41" s="14">
        <v>46</v>
      </c>
      <c r="H41">
        <v>13.49</v>
      </c>
      <c r="I41">
        <v>620.54</v>
      </c>
      <c r="J41" s="14" t="s">
        <v>106</v>
      </c>
      <c r="K41" s="14" t="s">
        <v>216</v>
      </c>
      <c r="L41" s="14" t="s">
        <v>47</v>
      </c>
      <c r="M41" s="14" t="s">
        <v>45</v>
      </c>
    </row>
    <row r="42" spans="1:13" x14ac:dyDescent="0.25">
      <c r="A42" s="14" t="s">
        <v>104</v>
      </c>
      <c r="B42" s="14" t="s">
        <v>93</v>
      </c>
      <c r="C42" s="15">
        <v>45046</v>
      </c>
      <c r="D42" s="14" t="s">
        <v>214</v>
      </c>
      <c r="E42" s="14" t="s">
        <v>41</v>
      </c>
      <c r="F42" s="14" t="s">
        <v>42</v>
      </c>
      <c r="G42" s="14">
        <v>53</v>
      </c>
      <c r="H42">
        <v>26.06</v>
      </c>
      <c r="I42">
        <v>1381.18</v>
      </c>
      <c r="J42" s="14" t="s">
        <v>107</v>
      </c>
      <c r="K42" s="14" t="s">
        <v>212</v>
      </c>
      <c r="L42" s="14" t="s">
        <v>51</v>
      </c>
      <c r="M42" s="14" t="s">
        <v>45</v>
      </c>
    </row>
    <row r="43" spans="1:13" x14ac:dyDescent="0.25">
      <c r="A43" s="14" t="s">
        <v>108</v>
      </c>
      <c r="B43" s="14" t="s">
        <v>93</v>
      </c>
      <c r="C43" s="15">
        <v>44977</v>
      </c>
      <c r="D43" s="14" t="s">
        <v>213</v>
      </c>
      <c r="E43" s="14" t="s">
        <v>41</v>
      </c>
      <c r="F43" s="14" t="s">
        <v>49</v>
      </c>
      <c r="G43" s="14">
        <v>99</v>
      </c>
      <c r="H43">
        <v>17.170000000000002</v>
      </c>
      <c r="I43">
        <v>1699.83</v>
      </c>
      <c r="J43" s="14" t="s">
        <v>109</v>
      </c>
      <c r="K43" s="14" t="s">
        <v>212</v>
      </c>
      <c r="L43" s="14" t="s">
        <v>44</v>
      </c>
      <c r="M43" s="14" t="s">
        <v>45</v>
      </c>
    </row>
    <row r="44" spans="1:13" x14ac:dyDescent="0.25">
      <c r="A44" s="14" t="s">
        <v>110</v>
      </c>
      <c r="B44" s="14" t="s">
        <v>93</v>
      </c>
      <c r="C44" s="15">
        <v>45065</v>
      </c>
      <c r="D44" s="14" t="s">
        <v>213</v>
      </c>
      <c r="E44" s="14" t="s">
        <v>41</v>
      </c>
      <c r="F44" s="14" t="s">
        <v>55</v>
      </c>
      <c r="G44" s="14">
        <v>81</v>
      </c>
      <c r="H44">
        <v>17.38</v>
      </c>
      <c r="I44">
        <v>1407.78</v>
      </c>
      <c r="J44" s="14" t="s">
        <v>111</v>
      </c>
      <c r="K44" s="14" t="s">
        <v>215</v>
      </c>
      <c r="L44" s="14" t="s">
        <v>47</v>
      </c>
      <c r="M44" s="14" t="s">
        <v>45</v>
      </c>
    </row>
    <row r="45" spans="1:13" x14ac:dyDescent="0.25">
      <c r="A45" s="14" t="s">
        <v>98</v>
      </c>
      <c r="B45" s="14" t="s">
        <v>93</v>
      </c>
      <c r="C45" s="15">
        <v>45409</v>
      </c>
      <c r="D45" s="14" t="s">
        <v>213</v>
      </c>
      <c r="E45" s="14" t="s">
        <v>52</v>
      </c>
      <c r="F45" s="14" t="s">
        <v>49</v>
      </c>
      <c r="G45" s="14">
        <v>20</v>
      </c>
      <c r="H45">
        <v>25.24</v>
      </c>
      <c r="I45">
        <v>504.8</v>
      </c>
      <c r="J45" s="14" t="s">
        <v>112</v>
      </c>
      <c r="K45" s="14" t="s">
        <v>212</v>
      </c>
      <c r="L45" s="14" t="s">
        <v>51</v>
      </c>
      <c r="M45" s="14" t="s">
        <v>45</v>
      </c>
    </row>
    <row r="46" spans="1:13" x14ac:dyDescent="0.25">
      <c r="A46" s="14" t="s">
        <v>110</v>
      </c>
      <c r="B46" s="14" t="s">
        <v>93</v>
      </c>
      <c r="C46" s="15">
        <v>45131</v>
      </c>
      <c r="D46" s="14" t="s">
        <v>213</v>
      </c>
      <c r="E46" s="14" t="s">
        <v>41</v>
      </c>
      <c r="F46" s="14" t="s">
        <v>49</v>
      </c>
      <c r="G46" s="14">
        <v>41</v>
      </c>
      <c r="H46">
        <v>28.68</v>
      </c>
      <c r="I46">
        <v>1175.8800000000001</v>
      </c>
      <c r="J46" s="14" t="s">
        <v>113</v>
      </c>
      <c r="K46" s="14" t="s">
        <v>215</v>
      </c>
      <c r="L46" s="14" t="s">
        <v>44</v>
      </c>
      <c r="M46" s="14" t="s">
        <v>45</v>
      </c>
    </row>
    <row r="47" spans="1:13" x14ac:dyDescent="0.25">
      <c r="A47" s="14" t="s">
        <v>104</v>
      </c>
      <c r="B47" s="14" t="s">
        <v>93</v>
      </c>
      <c r="C47" s="15">
        <v>45611</v>
      </c>
      <c r="D47" s="14" t="s">
        <v>214</v>
      </c>
      <c r="E47" s="14" t="s">
        <v>52</v>
      </c>
      <c r="F47" s="14" t="s">
        <v>49</v>
      </c>
      <c r="G47" s="14">
        <v>30</v>
      </c>
      <c r="H47">
        <v>15.97</v>
      </c>
      <c r="I47">
        <v>479.1</v>
      </c>
      <c r="J47" s="14" t="s">
        <v>114</v>
      </c>
      <c r="K47" s="14" t="s">
        <v>212</v>
      </c>
      <c r="L47" s="14" t="s">
        <v>47</v>
      </c>
      <c r="M47" s="14" t="s">
        <v>45</v>
      </c>
    </row>
    <row r="48" spans="1:13" x14ac:dyDescent="0.25">
      <c r="A48" s="14" t="s">
        <v>95</v>
      </c>
      <c r="B48" s="14" t="s">
        <v>93</v>
      </c>
      <c r="C48" s="15">
        <v>45134</v>
      </c>
      <c r="D48" s="14" t="s">
        <v>213</v>
      </c>
      <c r="E48" s="14" t="s">
        <v>41</v>
      </c>
      <c r="F48" s="14" t="s">
        <v>55</v>
      </c>
      <c r="G48" s="14">
        <v>96</v>
      </c>
      <c r="H48">
        <v>24.21</v>
      </c>
      <c r="I48">
        <v>2324.16</v>
      </c>
      <c r="J48" s="14" t="s">
        <v>115</v>
      </c>
      <c r="K48" s="14" t="s">
        <v>215</v>
      </c>
      <c r="L48" s="14" t="s">
        <v>47</v>
      </c>
      <c r="M48" s="14" t="s">
        <v>45</v>
      </c>
    </row>
    <row r="49" spans="1:13" x14ac:dyDescent="0.25">
      <c r="A49" s="14" t="s">
        <v>104</v>
      </c>
      <c r="B49" s="14" t="s">
        <v>93</v>
      </c>
      <c r="C49" s="15">
        <v>45260</v>
      </c>
      <c r="D49" s="14" t="s">
        <v>213</v>
      </c>
      <c r="E49" s="14" t="s">
        <v>52</v>
      </c>
      <c r="F49" s="14" t="s">
        <v>42</v>
      </c>
      <c r="G49" s="14">
        <v>98</v>
      </c>
      <c r="H49">
        <v>17.12</v>
      </c>
      <c r="I49">
        <v>1677.76</v>
      </c>
      <c r="J49" s="14" t="s">
        <v>116</v>
      </c>
      <c r="K49" s="14" t="s">
        <v>212</v>
      </c>
      <c r="L49" s="14" t="s">
        <v>62</v>
      </c>
      <c r="M49" s="14" t="s">
        <v>45</v>
      </c>
    </row>
    <row r="50" spans="1:13" x14ac:dyDescent="0.25">
      <c r="A50" s="14" t="s">
        <v>108</v>
      </c>
      <c r="B50" s="14" t="s">
        <v>93</v>
      </c>
      <c r="C50" s="15">
        <v>45047</v>
      </c>
      <c r="D50" s="14" t="s">
        <v>213</v>
      </c>
      <c r="E50" s="14" t="s">
        <v>52</v>
      </c>
      <c r="F50" s="14" t="s">
        <v>49</v>
      </c>
      <c r="G50" s="14">
        <v>88</v>
      </c>
      <c r="H50">
        <v>14.95</v>
      </c>
      <c r="I50">
        <v>1315.6</v>
      </c>
      <c r="J50" s="14" t="s">
        <v>117</v>
      </c>
      <c r="K50" s="14" t="s">
        <v>212</v>
      </c>
      <c r="L50" s="14" t="s">
        <v>47</v>
      </c>
      <c r="M50" s="14" t="s">
        <v>45</v>
      </c>
    </row>
    <row r="51" spans="1:13" x14ac:dyDescent="0.25">
      <c r="A51" s="14" t="s">
        <v>95</v>
      </c>
      <c r="B51" s="14" t="s">
        <v>93</v>
      </c>
      <c r="C51" s="15">
        <v>45035</v>
      </c>
      <c r="D51" s="14" t="s">
        <v>211</v>
      </c>
      <c r="E51" s="14" t="s">
        <v>52</v>
      </c>
      <c r="F51" s="14" t="s">
        <v>42</v>
      </c>
      <c r="G51" s="14">
        <v>36</v>
      </c>
      <c r="H51">
        <v>16.170000000000002</v>
      </c>
      <c r="I51">
        <v>582.12</v>
      </c>
      <c r="J51" s="14" t="s">
        <v>118</v>
      </c>
      <c r="K51" s="14" t="s">
        <v>212</v>
      </c>
      <c r="L51" s="14" t="s">
        <v>47</v>
      </c>
      <c r="M51" s="14" t="s">
        <v>45</v>
      </c>
    </row>
    <row r="52" spans="1:13" x14ac:dyDescent="0.25">
      <c r="A52" s="14" t="s">
        <v>119</v>
      </c>
      <c r="B52" s="14" t="s">
        <v>120</v>
      </c>
      <c r="C52" s="15">
        <v>45297</v>
      </c>
      <c r="D52" s="14" t="s">
        <v>214</v>
      </c>
      <c r="E52" s="14" t="s">
        <v>52</v>
      </c>
      <c r="F52" s="14" t="s">
        <v>42</v>
      </c>
      <c r="G52" s="14">
        <v>52</v>
      </c>
      <c r="H52">
        <v>34.26</v>
      </c>
      <c r="I52">
        <v>1781.52</v>
      </c>
      <c r="J52" s="14" t="s">
        <v>121</v>
      </c>
      <c r="K52" s="14" t="s">
        <v>215</v>
      </c>
      <c r="L52" s="14" t="s">
        <v>51</v>
      </c>
      <c r="M52" s="14" t="s">
        <v>45</v>
      </c>
    </row>
    <row r="53" spans="1:13" x14ac:dyDescent="0.25">
      <c r="A53" s="14" t="s">
        <v>122</v>
      </c>
      <c r="B53" s="14" t="s">
        <v>120</v>
      </c>
      <c r="C53" s="15">
        <v>45437</v>
      </c>
      <c r="D53" s="14" t="s">
        <v>213</v>
      </c>
      <c r="E53" s="14" t="s">
        <v>41</v>
      </c>
      <c r="F53" s="14" t="s">
        <v>49</v>
      </c>
      <c r="G53" s="14">
        <v>123</v>
      </c>
      <c r="H53">
        <v>47.48</v>
      </c>
      <c r="I53">
        <v>5840.04</v>
      </c>
      <c r="J53" s="14" t="s">
        <v>123</v>
      </c>
      <c r="K53" s="14" t="s">
        <v>216</v>
      </c>
      <c r="L53" s="14" t="s">
        <v>59</v>
      </c>
      <c r="M53" s="14" t="s">
        <v>45</v>
      </c>
    </row>
    <row r="54" spans="1:13" x14ac:dyDescent="0.25">
      <c r="A54" s="14" t="s">
        <v>124</v>
      </c>
      <c r="B54" s="14" t="s">
        <v>120</v>
      </c>
      <c r="C54" s="15">
        <v>45407</v>
      </c>
      <c r="D54" s="14" t="s">
        <v>214</v>
      </c>
      <c r="E54" s="14" t="s">
        <v>52</v>
      </c>
      <c r="F54" s="14" t="s">
        <v>42</v>
      </c>
      <c r="G54" s="14">
        <v>159</v>
      </c>
      <c r="H54">
        <v>29.62</v>
      </c>
      <c r="I54">
        <v>4709.58</v>
      </c>
      <c r="J54" s="14" t="s">
        <v>125</v>
      </c>
      <c r="K54" s="14" t="s">
        <v>215</v>
      </c>
      <c r="L54" s="14" t="s">
        <v>51</v>
      </c>
      <c r="M54" s="14" t="s">
        <v>45</v>
      </c>
    </row>
    <row r="55" spans="1:13" x14ac:dyDescent="0.25">
      <c r="A55" s="14" t="s">
        <v>126</v>
      </c>
      <c r="B55" s="14" t="s">
        <v>120</v>
      </c>
      <c r="C55" s="15">
        <v>45485</v>
      </c>
      <c r="D55" s="14" t="s">
        <v>214</v>
      </c>
      <c r="E55" s="14" t="s">
        <v>52</v>
      </c>
      <c r="F55" s="14" t="s">
        <v>42</v>
      </c>
      <c r="G55" s="14">
        <v>99</v>
      </c>
      <c r="H55">
        <v>28.95</v>
      </c>
      <c r="I55">
        <v>2866.05</v>
      </c>
      <c r="J55" s="14" t="s">
        <v>127</v>
      </c>
      <c r="K55" s="14" t="s">
        <v>215</v>
      </c>
      <c r="L55" s="14" t="s">
        <v>62</v>
      </c>
      <c r="M55" s="14" t="s">
        <v>45</v>
      </c>
    </row>
    <row r="56" spans="1:13" x14ac:dyDescent="0.25">
      <c r="A56" s="14" t="s">
        <v>128</v>
      </c>
      <c r="B56" s="14" t="s">
        <v>120</v>
      </c>
      <c r="C56" s="15">
        <v>45316</v>
      </c>
      <c r="D56" s="14" t="s">
        <v>213</v>
      </c>
      <c r="E56" s="14" t="s">
        <v>52</v>
      </c>
      <c r="F56" s="14" t="s">
        <v>42</v>
      </c>
      <c r="G56" s="14">
        <v>188</v>
      </c>
      <c r="H56">
        <v>46.26</v>
      </c>
      <c r="I56">
        <v>8696.8799999999992</v>
      </c>
      <c r="J56" s="14" t="s">
        <v>129</v>
      </c>
      <c r="K56" s="14" t="s">
        <v>216</v>
      </c>
      <c r="L56" s="14" t="s">
        <v>44</v>
      </c>
      <c r="M56" s="14" t="s">
        <v>45</v>
      </c>
    </row>
    <row r="57" spans="1:13" x14ac:dyDescent="0.25">
      <c r="A57" s="14" t="s">
        <v>122</v>
      </c>
      <c r="B57" s="14" t="s">
        <v>120</v>
      </c>
      <c r="C57" s="15">
        <v>45057</v>
      </c>
      <c r="D57" s="14" t="s">
        <v>211</v>
      </c>
      <c r="E57" s="14" t="s">
        <v>52</v>
      </c>
      <c r="F57" s="14" t="s">
        <v>49</v>
      </c>
      <c r="G57" s="14">
        <v>75</v>
      </c>
      <c r="H57">
        <v>43.78</v>
      </c>
      <c r="I57">
        <v>3283.5</v>
      </c>
      <c r="J57" s="14" t="s">
        <v>130</v>
      </c>
      <c r="K57" s="14" t="s">
        <v>216</v>
      </c>
      <c r="L57" s="14" t="s">
        <v>47</v>
      </c>
      <c r="M57" s="14" t="s">
        <v>45</v>
      </c>
    </row>
    <row r="58" spans="1:13" x14ac:dyDescent="0.25">
      <c r="A58" s="14" t="s">
        <v>124</v>
      </c>
      <c r="B58" s="14" t="s">
        <v>120</v>
      </c>
      <c r="C58" s="15">
        <v>45331</v>
      </c>
      <c r="D58" s="14" t="s">
        <v>214</v>
      </c>
      <c r="E58" s="14" t="s">
        <v>52</v>
      </c>
      <c r="F58" s="14" t="s">
        <v>42</v>
      </c>
      <c r="G58" s="14">
        <v>174</v>
      </c>
      <c r="H58">
        <v>37.729999999999997</v>
      </c>
      <c r="I58">
        <v>6565.02</v>
      </c>
      <c r="J58" s="14" t="s">
        <v>131</v>
      </c>
      <c r="K58" s="14" t="s">
        <v>216</v>
      </c>
      <c r="L58" s="14" t="s">
        <v>62</v>
      </c>
      <c r="M58" s="14" t="s">
        <v>45</v>
      </c>
    </row>
    <row r="59" spans="1:13" x14ac:dyDescent="0.25">
      <c r="A59" s="14" t="s">
        <v>124</v>
      </c>
      <c r="B59" s="14" t="s">
        <v>120</v>
      </c>
      <c r="C59" s="15">
        <v>45475</v>
      </c>
      <c r="D59" s="14" t="s">
        <v>214</v>
      </c>
      <c r="E59" s="14" t="s">
        <v>52</v>
      </c>
      <c r="F59" s="14" t="s">
        <v>49</v>
      </c>
      <c r="G59" s="14">
        <v>143</v>
      </c>
      <c r="H59">
        <v>39.61</v>
      </c>
      <c r="I59">
        <v>5664.23</v>
      </c>
      <c r="J59" s="14" t="s">
        <v>132</v>
      </c>
      <c r="K59" s="14" t="s">
        <v>216</v>
      </c>
      <c r="L59" s="14" t="s">
        <v>59</v>
      </c>
      <c r="M59" s="14" t="s">
        <v>45</v>
      </c>
    </row>
    <row r="60" spans="1:13" x14ac:dyDescent="0.25">
      <c r="A60" s="14" t="s">
        <v>128</v>
      </c>
      <c r="B60" s="14" t="s">
        <v>120</v>
      </c>
      <c r="C60" s="15">
        <v>45241</v>
      </c>
      <c r="D60" s="14" t="s">
        <v>213</v>
      </c>
      <c r="E60" s="14" t="s">
        <v>52</v>
      </c>
      <c r="F60" s="14" t="s">
        <v>42</v>
      </c>
      <c r="G60" s="14">
        <v>137</v>
      </c>
      <c r="H60">
        <v>30.1</v>
      </c>
      <c r="I60">
        <v>4123.7</v>
      </c>
      <c r="J60" s="14" t="s">
        <v>133</v>
      </c>
      <c r="K60" s="14" t="s">
        <v>212</v>
      </c>
      <c r="L60" s="14" t="s">
        <v>62</v>
      </c>
      <c r="M60" s="14" t="s">
        <v>45</v>
      </c>
    </row>
    <row r="61" spans="1:13" x14ac:dyDescent="0.25">
      <c r="A61" s="14" t="s">
        <v>126</v>
      </c>
      <c r="B61" s="14" t="s">
        <v>120</v>
      </c>
      <c r="C61" s="15">
        <v>45046</v>
      </c>
      <c r="D61" s="14" t="s">
        <v>214</v>
      </c>
      <c r="E61" s="14" t="s">
        <v>52</v>
      </c>
      <c r="F61" s="14" t="s">
        <v>55</v>
      </c>
      <c r="G61" s="14">
        <v>136</v>
      </c>
      <c r="H61">
        <v>43.81</v>
      </c>
      <c r="I61">
        <v>5958.16</v>
      </c>
      <c r="J61" s="14" t="s">
        <v>134</v>
      </c>
      <c r="K61" s="14" t="s">
        <v>216</v>
      </c>
      <c r="L61" s="14" t="s">
        <v>62</v>
      </c>
      <c r="M61" s="14" t="s">
        <v>45</v>
      </c>
    </row>
    <row r="62" spans="1:13" x14ac:dyDescent="0.25">
      <c r="A62" s="14" t="s">
        <v>128</v>
      </c>
      <c r="B62" s="14" t="s">
        <v>120</v>
      </c>
      <c r="C62" s="15">
        <v>44985</v>
      </c>
      <c r="D62" s="14" t="s">
        <v>213</v>
      </c>
      <c r="E62" s="14" t="s">
        <v>52</v>
      </c>
      <c r="F62" s="14" t="s">
        <v>42</v>
      </c>
      <c r="G62" s="14">
        <v>162</v>
      </c>
      <c r="H62">
        <v>47.46</v>
      </c>
      <c r="I62">
        <v>7688.52</v>
      </c>
      <c r="J62" s="14" t="s">
        <v>135</v>
      </c>
      <c r="K62" s="14" t="s">
        <v>216</v>
      </c>
      <c r="L62" s="14" t="s">
        <v>44</v>
      </c>
      <c r="M62" s="14" t="s">
        <v>45</v>
      </c>
    </row>
    <row r="63" spans="1:13" x14ac:dyDescent="0.25">
      <c r="A63" s="14" t="s">
        <v>128</v>
      </c>
      <c r="B63" s="14" t="s">
        <v>120</v>
      </c>
      <c r="C63" s="15">
        <v>45446</v>
      </c>
      <c r="D63" s="14" t="s">
        <v>214</v>
      </c>
      <c r="E63" s="14" t="s">
        <v>52</v>
      </c>
      <c r="F63" s="14" t="s">
        <v>55</v>
      </c>
      <c r="G63" s="14">
        <v>197</v>
      </c>
      <c r="H63">
        <v>37.65</v>
      </c>
      <c r="I63">
        <v>7417.05</v>
      </c>
      <c r="J63" s="14" t="s">
        <v>136</v>
      </c>
      <c r="K63" s="14" t="s">
        <v>212</v>
      </c>
      <c r="L63" s="14" t="s">
        <v>51</v>
      </c>
      <c r="M63" s="14" t="s">
        <v>45</v>
      </c>
    </row>
    <row r="64" spans="1:13" x14ac:dyDescent="0.25">
      <c r="A64" s="14" t="s">
        <v>137</v>
      </c>
      <c r="B64" s="14" t="s">
        <v>120</v>
      </c>
      <c r="C64" s="15">
        <v>45047</v>
      </c>
      <c r="D64" s="14" t="s">
        <v>213</v>
      </c>
      <c r="E64" s="14" t="s">
        <v>52</v>
      </c>
      <c r="F64" s="14" t="s">
        <v>49</v>
      </c>
      <c r="G64" s="14">
        <v>106</v>
      </c>
      <c r="H64">
        <v>46.72</v>
      </c>
      <c r="I64">
        <v>4952.32</v>
      </c>
      <c r="J64" s="14" t="s">
        <v>138</v>
      </c>
      <c r="K64" s="14" t="s">
        <v>212</v>
      </c>
      <c r="L64" s="14" t="s">
        <v>44</v>
      </c>
      <c r="M64" s="14" t="s">
        <v>45</v>
      </c>
    </row>
    <row r="65" spans="1:13" x14ac:dyDescent="0.25">
      <c r="A65" s="14" t="s">
        <v>122</v>
      </c>
      <c r="B65" s="14" t="s">
        <v>120</v>
      </c>
      <c r="C65" s="15">
        <v>45245</v>
      </c>
      <c r="D65" s="14" t="s">
        <v>213</v>
      </c>
      <c r="E65" s="14" t="s">
        <v>41</v>
      </c>
      <c r="F65" s="14" t="s">
        <v>55</v>
      </c>
      <c r="G65" s="14">
        <v>132</v>
      </c>
      <c r="H65">
        <v>28.48</v>
      </c>
      <c r="I65">
        <v>3759.36</v>
      </c>
      <c r="J65" s="14" t="s">
        <v>139</v>
      </c>
      <c r="K65" s="14" t="s">
        <v>215</v>
      </c>
      <c r="L65" s="14" t="s">
        <v>59</v>
      </c>
      <c r="M65" s="14" t="s">
        <v>45</v>
      </c>
    </row>
    <row r="66" spans="1:13" x14ac:dyDescent="0.25">
      <c r="A66" s="14" t="s">
        <v>126</v>
      </c>
      <c r="B66" s="14" t="s">
        <v>120</v>
      </c>
      <c r="C66" s="15">
        <v>44962</v>
      </c>
      <c r="D66" s="14" t="s">
        <v>213</v>
      </c>
      <c r="E66" s="14" t="s">
        <v>41</v>
      </c>
      <c r="F66" s="14" t="s">
        <v>49</v>
      </c>
      <c r="G66" s="14">
        <v>130</v>
      </c>
      <c r="H66">
        <v>25.96</v>
      </c>
      <c r="I66">
        <v>3374.8</v>
      </c>
      <c r="J66" s="14" t="s">
        <v>140</v>
      </c>
      <c r="K66" s="14" t="s">
        <v>215</v>
      </c>
      <c r="L66" s="14" t="s">
        <v>44</v>
      </c>
      <c r="M66" s="14" t="s">
        <v>45</v>
      </c>
    </row>
    <row r="67" spans="1:13" x14ac:dyDescent="0.25">
      <c r="A67" s="14" t="s">
        <v>124</v>
      </c>
      <c r="B67" s="14" t="s">
        <v>120</v>
      </c>
      <c r="C67" s="15">
        <v>45440</v>
      </c>
      <c r="D67" s="14" t="s">
        <v>214</v>
      </c>
      <c r="E67" s="14" t="s">
        <v>52</v>
      </c>
      <c r="F67" s="14" t="s">
        <v>49</v>
      </c>
      <c r="G67" s="14">
        <v>152</v>
      </c>
      <c r="H67">
        <v>32.61</v>
      </c>
      <c r="I67">
        <v>4956.72</v>
      </c>
      <c r="J67" s="14" t="s">
        <v>141</v>
      </c>
      <c r="K67" s="14" t="s">
        <v>212</v>
      </c>
      <c r="L67" s="14" t="s">
        <v>62</v>
      </c>
      <c r="M67" s="14" t="s">
        <v>45</v>
      </c>
    </row>
    <row r="68" spans="1:13" x14ac:dyDescent="0.25">
      <c r="A68" s="14" t="s">
        <v>126</v>
      </c>
      <c r="B68" s="14" t="s">
        <v>120</v>
      </c>
      <c r="C68" s="15">
        <v>45354</v>
      </c>
      <c r="D68" s="14" t="s">
        <v>213</v>
      </c>
      <c r="E68" s="14" t="s">
        <v>52</v>
      </c>
      <c r="F68" s="14" t="s">
        <v>42</v>
      </c>
      <c r="G68" s="14">
        <v>76</v>
      </c>
      <c r="H68">
        <v>46.68</v>
      </c>
      <c r="I68">
        <v>3547.68</v>
      </c>
      <c r="J68" s="14" t="s">
        <v>142</v>
      </c>
      <c r="K68" s="14" t="s">
        <v>215</v>
      </c>
      <c r="L68" s="14" t="s">
        <v>47</v>
      </c>
      <c r="M68" s="14" t="s">
        <v>45</v>
      </c>
    </row>
    <row r="69" spans="1:13" x14ac:dyDescent="0.25">
      <c r="A69" s="14" t="s">
        <v>124</v>
      </c>
      <c r="B69" s="14" t="s">
        <v>120</v>
      </c>
      <c r="C69" s="15">
        <v>45244</v>
      </c>
      <c r="D69" s="14" t="s">
        <v>214</v>
      </c>
      <c r="E69" s="14" t="s">
        <v>52</v>
      </c>
      <c r="F69" s="14" t="s">
        <v>49</v>
      </c>
      <c r="G69" s="14">
        <v>81</v>
      </c>
      <c r="H69">
        <v>47.77</v>
      </c>
      <c r="I69">
        <v>3869.37</v>
      </c>
      <c r="J69" s="14" t="s">
        <v>143</v>
      </c>
      <c r="K69" s="14" t="s">
        <v>216</v>
      </c>
      <c r="L69" s="14" t="s">
        <v>51</v>
      </c>
      <c r="M69" s="14" t="s">
        <v>45</v>
      </c>
    </row>
    <row r="70" spans="1:13" x14ac:dyDescent="0.25">
      <c r="A70" s="14" t="s">
        <v>126</v>
      </c>
      <c r="B70" s="14" t="s">
        <v>120</v>
      </c>
      <c r="C70" s="15">
        <v>45178</v>
      </c>
      <c r="D70" s="14" t="s">
        <v>211</v>
      </c>
      <c r="E70" s="14" t="s">
        <v>41</v>
      </c>
      <c r="F70" s="14" t="s">
        <v>49</v>
      </c>
      <c r="G70" s="14">
        <v>136</v>
      </c>
      <c r="H70">
        <v>46.18</v>
      </c>
      <c r="I70">
        <v>6280.48</v>
      </c>
      <c r="J70" s="14" t="s">
        <v>144</v>
      </c>
      <c r="K70" s="14" t="s">
        <v>215</v>
      </c>
      <c r="L70" s="14" t="s">
        <v>44</v>
      </c>
      <c r="M70" s="14" t="s">
        <v>45</v>
      </c>
    </row>
    <row r="71" spans="1:13" x14ac:dyDescent="0.25">
      <c r="A71" s="14" t="s">
        <v>124</v>
      </c>
      <c r="B71" s="14" t="s">
        <v>120</v>
      </c>
      <c r="C71" s="15">
        <v>45569</v>
      </c>
      <c r="D71" s="14" t="s">
        <v>213</v>
      </c>
      <c r="E71" s="14" t="s">
        <v>52</v>
      </c>
      <c r="F71" s="14" t="s">
        <v>55</v>
      </c>
      <c r="G71" s="14">
        <v>150</v>
      </c>
      <c r="H71">
        <v>37.74</v>
      </c>
      <c r="I71">
        <v>5661</v>
      </c>
      <c r="J71" s="14" t="s">
        <v>145</v>
      </c>
      <c r="K71" s="14" t="s">
        <v>212</v>
      </c>
      <c r="L71" s="14" t="s">
        <v>47</v>
      </c>
      <c r="M71" s="14" t="s">
        <v>45</v>
      </c>
    </row>
    <row r="72" spans="1:13" x14ac:dyDescent="0.25">
      <c r="A72" s="14" t="s">
        <v>146</v>
      </c>
      <c r="B72" s="14" t="s">
        <v>40</v>
      </c>
      <c r="C72" s="15">
        <v>45252</v>
      </c>
      <c r="D72" s="14" t="s">
        <v>211</v>
      </c>
      <c r="E72" s="14" t="s">
        <v>63</v>
      </c>
      <c r="F72" s="14" t="s">
        <v>42</v>
      </c>
      <c r="G72" s="14">
        <v>97</v>
      </c>
      <c r="H72">
        <v>59.72</v>
      </c>
      <c r="I72">
        <v>5792.84</v>
      </c>
      <c r="J72" s="14" t="s">
        <v>147</v>
      </c>
      <c r="K72" s="14" t="s">
        <v>215</v>
      </c>
      <c r="L72" s="14" t="s">
        <v>47</v>
      </c>
      <c r="M72" s="14" t="s">
        <v>148</v>
      </c>
    </row>
    <row r="73" spans="1:13" x14ac:dyDescent="0.25">
      <c r="A73" s="14" t="s">
        <v>149</v>
      </c>
      <c r="B73" s="14" t="s">
        <v>40</v>
      </c>
      <c r="C73" s="15">
        <v>45262</v>
      </c>
      <c r="D73" s="14" t="s">
        <v>211</v>
      </c>
      <c r="E73" s="14" t="s">
        <v>63</v>
      </c>
      <c r="F73" s="14" t="s">
        <v>42</v>
      </c>
      <c r="G73" s="14">
        <v>101</v>
      </c>
      <c r="H73">
        <v>46.18</v>
      </c>
      <c r="I73">
        <v>4664.18</v>
      </c>
      <c r="J73" s="14" t="s">
        <v>150</v>
      </c>
      <c r="K73" s="14" t="s">
        <v>216</v>
      </c>
      <c r="L73" s="14" t="s">
        <v>44</v>
      </c>
      <c r="M73" s="14" t="s">
        <v>148</v>
      </c>
    </row>
    <row r="74" spans="1:13" x14ac:dyDescent="0.25">
      <c r="A74" s="14" t="s">
        <v>151</v>
      </c>
      <c r="B74" s="14" t="s">
        <v>40</v>
      </c>
      <c r="C74" s="15">
        <v>44975</v>
      </c>
      <c r="D74" s="14" t="s">
        <v>213</v>
      </c>
      <c r="E74" s="14" t="s">
        <v>63</v>
      </c>
      <c r="F74" s="14" t="s">
        <v>49</v>
      </c>
      <c r="G74" s="14">
        <v>136</v>
      </c>
      <c r="H74">
        <v>38.67</v>
      </c>
      <c r="I74">
        <v>5259.12</v>
      </c>
      <c r="J74" s="14" t="s">
        <v>152</v>
      </c>
      <c r="K74" s="14" t="s">
        <v>215</v>
      </c>
      <c r="L74" s="14" t="s">
        <v>47</v>
      </c>
      <c r="M74" s="14" t="s">
        <v>148</v>
      </c>
    </row>
    <row r="75" spans="1:13" x14ac:dyDescent="0.25">
      <c r="A75" s="14" t="s">
        <v>153</v>
      </c>
      <c r="B75" s="14" t="s">
        <v>40</v>
      </c>
      <c r="C75" s="15">
        <v>45145</v>
      </c>
      <c r="D75" s="14" t="s">
        <v>211</v>
      </c>
      <c r="E75" s="14" t="s">
        <v>52</v>
      </c>
      <c r="F75" s="14" t="s">
        <v>49</v>
      </c>
      <c r="G75" s="14">
        <v>131</v>
      </c>
      <c r="H75">
        <v>49.06</v>
      </c>
      <c r="I75">
        <v>6426.86</v>
      </c>
      <c r="J75" s="14" t="s">
        <v>154</v>
      </c>
      <c r="K75" s="14" t="s">
        <v>215</v>
      </c>
      <c r="L75" s="14" t="s">
        <v>47</v>
      </c>
      <c r="M75" s="14" t="s">
        <v>148</v>
      </c>
    </row>
    <row r="76" spans="1:13" x14ac:dyDescent="0.25">
      <c r="A76" s="14" t="s">
        <v>151</v>
      </c>
      <c r="B76" s="14" t="s">
        <v>40</v>
      </c>
      <c r="C76" s="15">
        <v>45356</v>
      </c>
      <c r="D76" s="14" t="s">
        <v>213</v>
      </c>
      <c r="E76" s="14" t="s">
        <v>63</v>
      </c>
      <c r="F76" s="14" t="s">
        <v>42</v>
      </c>
      <c r="G76" s="14">
        <v>98</v>
      </c>
      <c r="H76">
        <v>58.56</v>
      </c>
      <c r="I76">
        <v>5738.88</v>
      </c>
      <c r="J76" s="14" t="s">
        <v>155</v>
      </c>
      <c r="K76" s="14" t="s">
        <v>215</v>
      </c>
      <c r="L76" s="14" t="s">
        <v>62</v>
      </c>
      <c r="M76" s="14" t="s">
        <v>148</v>
      </c>
    </row>
    <row r="77" spans="1:13" x14ac:dyDescent="0.25">
      <c r="A77" s="14" t="s">
        <v>156</v>
      </c>
      <c r="B77" s="14" t="s">
        <v>40</v>
      </c>
      <c r="C77" s="15">
        <v>45452</v>
      </c>
      <c r="D77" s="14" t="s">
        <v>211</v>
      </c>
      <c r="E77" s="14" t="s">
        <v>52</v>
      </c>
      <c r="F77" s="14" t="s">
        <v>42</v>
      </c>
      <c r="G77" s="14">
        <v>137</v>
      </c>
      <c r="H77">
        <v>33.840000000000003</v>
      </c>
      <c r="I77">
        <v>4636.08</v>
      </c>
      <c r="J77" s="14" t="s">
        <v>157</v>
      </c>
      <c r="K77" s="14" t="s">
        <v>216</v>
      </c>
      <c r="L77" s="14" t="s">
        <v>59</v>
      </c>
      <c r="M77" s="14" t="s">
        <v>148</v>
      </c>
    </row>
    <row r="78" spans="1:13" x14ac:dyDescent="0.25">
      <c r="A78" s="14" t="s">
        <v>158</v>
      </c>
      <c r="B78" s="14" t="s">
        <v>40</v>
      </c>
      <c r="C78" s="15">
        <v>45261</v>
      </c>
      <c r="D78" s="14" t="s">
        <v>211</v>
      </c>
      <c r="E78" s="14" t="s">
        <v>52</v>
      </c>
      <c r="F78" s="14" t="s">
        <v>49</v>
      </c>
      <c r="G78" s="14">
        <v>148</v>
      </c>
      <c r="H78">
        <v>47.07</v>
      </c>
      <c r="I78">
        <v>6966.36</v>
      </c>
      <c r="J78" s="14" t="s">
        <v>159</v>
      </c>
      <c r="K78" s="14" t="s">
        <v>212</v>
      </c>
      <c r="L78" s="14" t="s">
        <v>59</v>
      </c>
      <c r="M78" s="14" t="s">
        <v>148</v>
      </c>
    </row>
    <row r="79" spans="1:13" x14ac:dyDescent="0.25">
      <c r="A79" s="14" t="s">
        <v>160</v>
      </c>
      <c r="B79" s="14" t="s">
        <v>40</v>
      </c>
      <c r="C79" s="15">
        <v>45261</v>
      </c>
      <c r="D79" s="14" t="s">
        <v>211</v>
      </c>
      <c r="E79" s="14" t="s">
        <v>41</v>
      </c>
      <c r="F79" s="14" t="s">
        <v>42</v>
      </c>
      <c r="G79" s="14">
        <v>92</v>
      </c>
      <c r="H79">
        <v>44.5</v>
      </c>
      <c r="I79">
        <v>4094</v>
      </c>
      <c r="J79" s="14" t="s">
        <v>161</v>
      </c>
      <c r="K79" s="14" t="s">
        <v>215</v>
      </c>
      <c r="L79" s="14" t="s">
        <v>47</v>
      </c>
      <c r="M79" s="14" t="s">
        <v>148</v>
      </c>
    </row>
    <row r="80" spans="1:13" x14ac:dyDescent="0.25">
      <c r="A80" s="14" t="s">
        <v>151</v>
      </c>
      <c r="B80" s="14" t="s">
        <v>40</v>
      </c>
      <c r="C80" s="15">
        <v>45606</v>
      </c>
      <c r="D80" s="14" t="s">
        <v>213</v>
      </c>
      <c r="E80" s="14" t="s">
        <v>41</v>
      </c>
      <c r="F80" s="14" t="s">
        <v>42</v>
      </c>
      <c r="G80" s="14">
        <v>144</v>
      </c>
      <c r="H80">
        <v>57.19</v>
      </c>
      <c r="I80">
        <v>8235.36</v>
      </c>
      <c r="J80" s="14" t="s">
        <v>162</v>
      </c>
      <c r="K80" s="14" t="s">
        <v>215</v>
      </c>
      <c r="L80" s="14" t="s">
        <v>51</v>
      </c>
      <c r="M80" s="14" t="s">
        <v>148</v>
      </c>
    </row>
    <row r="81" spans="1:13" x14ac:dyDescent="0.25">
      <c r="A81" s="14" t="s">
        <v>156</v>
      </c>
      <c r="B81" s="14" t="s">
        <v>40</v>
      </c>
      <c r="C81" s="15">
        <v>45238</v>
      </c>
      <c r="D81" s="14" t="s">
        <v>214</v>
      </c>
      <c r="E81" s="14" t="s">
        <v>52</v>
      </c>
      <c r="F81" s="14" t="s">
        <v>42</v>
      </c>
      <c r="G81" s="14">
        <v>132</v>
      </c>
      <c r="H81">
        <v>59.72</v>
      </c>
      <c r="I81">
        <v>7883.04</v>
      </c>
      <c r="J81" s="14" t="s">
        <v>163</v>
      </c>
      <c r="K81" s="14" t="s">
        <v>216</v>
      </c>
      <c r="L81" s="14" t="s">
        <v>47</v>
      </c>
      <c r="M81" s="14" t="s">
        <v>148</v>
      </c>
    </row>
    <row r="82" spans="1:13" x14ac:dyDescent="0.25">
      <c r="A82" s="14" t="s">
        <v>164</v>
      </c>
      <c r="B82" s="14" t="s">
        <v>40</v>
      </c>
      <c r="C82" s="15">
        <v>45274</v>
      </c>
      <c r="D82" s="14" t="s">
        <v>213</v>
      </c>
      <c r="E82" s="14" t="s">
        <v>52</v>
      </c>
      <c r="F82" s="14" t="s">
        <v>42</v>
      </c>
      <c r="G82" s="14">
        <v>140</v>
      </c>
      <c r="H82">
        <v>45.01</v>
      </c>
      <c r="I82">
        <v>6301.4</v>
      </c>
      <c r="J82" s="14" t="s">
        <v>165</v>
      </c>
      <c r="K82" s="14" t="s">
        <v>215</v>
      </c>
      <c r="L82" s="14" t="s">
        <v>44</v>
      </c>
      <c r="M82" s="14" t="s">
        <v>148</v>
      </c>
    </row>
    <row r="83" spans="1:13" x14ac:dyDescent="0.25">
      <c r="A83" s="14" t="s">
        <v>158</v>
      </c>
      <c r="B83" s="14" t="s">
        <v>40</v>
      </c>
      <c r="C83" s="15">
        <v>45216</v>
      </c>
      <c r="D83" s="14" t="s">
        <v>214</v>
      </c>
      <c r="E83" s="14" t="s">
        <v>52</v>
      </c>
      <c r="F83" s="14" t="s">
        <v>49</v>
      </c>
      <c r="G83" s="14">
        <v>110</v>
      </c>
      <c r="H83">
        <v>47.19</v>
      </c>
      <c r="I83">
        <v>5190.8999999999996</v>
      </c>
      <c r="J83" s="14" t="s">
        <v>166</v>
      </c>
      <c r="K83" s="14" t="s">
        <v>212</v>
      </c>
      <c r="L83" s="14" t="s">
        <v>47</v>
      </c>
      <c r="M83" s="14" t="s">
        <v>148</v>
      </c>
    </row>
    <row r="84" spans="1:13" x14ac:dyDescent="0.25">
      <c r="A84" s="14" t="s">
        <v>153</v>
      </c>
      <c r="B84" s="14" t="s">
        <v>40</v>
      </c>
      <c r="C84" s="15">
        <v>45464</v>
      </c>
      <c r="D84" s="14" t="s">
        <v>214</v>
      </c>
      <c r="E84" s="14" t="s">
        <v>52</v>
      </c>
      <c r="F84" s="14" t="s">
        <v>42</v>
      </c>
      <c r="G84" s="14">
        <v>91</v>
      </c>
      <c r="H84">
        <v>54.13</v>
      </c>
      <c r="I84">
        <v>4925.83</v>
      </c>
      <c r="J84" s="14" t="s">
        <v>167</v>
      </c>
      <c r="K84" s="14" t="s">
        <v>216</v>
      </c>
      <c r="L84" s="14" t="s">
        <v>62</v>
      </c>
      <c r="M84" s="14" t="s">
        <v>148</v>
      </c>
    </row>
    <row r="85" spans="1:13" x14ac:dyDescent="0.25">
      <c r="A85" s="14" t="s">
        <v>153</v>
      </c>
      <c r="B85" s="14" t="s">
        <v>40</v>
      </c>
      <c r="C85" s="15">
        <v>45205</v>
      </c>
      <c r="D85" s="14" t="s">
        <v>214</v>
      </c>
      <c r="E85" s="14" t="s">
        <v>52</v>
      </c>
      <c r="F85" s="14" t="s">
        <v>42</v>
      </c>
      <c r="G85" s="14">
        <v>123</v>
      </c>
      <c r="H85">
        <v>46.83</v>
      </c>
      <c r="I85">
        <v>5760.09</v>
      </c>
      <c r="J85" s="14" t="s">
        <v>168</v>
      </c>
      <c r="K85" s="14" t="s">
        <v>212</v>
      </c>
      <c r="L85" s="14" t="s">
        <v>51</v>
      </c>
      <c r="M85" s="14" t="s">
        <v>148</v>
      </c>
    </row>
    <row r="86" spans="1:13" x14ac:dyDescent="0.25">
      <c r="A86" s="14" t="s">
        <v>158</v>
      </c>
      <c r="B86" s="14" t="s">
        <v>40</v>
      </c>
      <c r="C86" s="15">
        <v>45461</v>
      </c>
      <c r="D86" s="14" t="s">
        <v>214</v>
      </c>
      <c r="E86" s="14" t="s">
        <v>52</v>
      </c>
      <c r="F86" s="14" t="s">
        <v>42</v>
      </c>
      <c r="G86" s="14">
        <v>120</v>
      </c>
      <c r="H86">
        <v>31.38</v>
      </c>
      <c r="I86">
        <v>3765.6</v>
      </c>
      <c r="J86" s="14" t="s">
        <v>169</v>
      </c>
      <c r="K86" s="14" t="s">
        <v>212</v>
      </c>
      <c r="L86" s="14" t="s">
        <v>51</v>
      </c>
      <c r="M86" s="14" t="s">
        <v>148</v>
      </c>
    </row>
    <row r="87" spans="1:13" x14ac:dyDescent="0.25">
      <c r="A87" s="14" t="s">
        <v>170</v>
      </c>
      <c r="B87" s="14" t="s">
        <v>40</v>
      </c>
      <c r="C87" s="15">
        <v>45253</v>
      </c>
      <c r="D87" s="14" t="s">
        <v>214</v>
      </c>
      <c r="E87" s="14" t="s">
        <v>52</v>
      </c>
      <c r="F87" s="14" t="s">
        <v>55</v>
      </c>
      <c r="G87" s="14">
        <v>103</v>
      </c>
      <c r="H87">
        <v>54.62</v>
      </c>
      <c r="I87">
        <v>5625.86</v>
      </c>
      <c r="J87" s="14" t="s">
        <v>171</v>
      </c>
      <c r="K87" s="14" t="s">
        <v>216</v>
      </c>
      <c r="L87" s="14" t="s">
        <v>44</v>
      </c>
      <c r="M87" s="14" t="s">
        <v>148</v>
      </c>
    </row>
    <row r="88" spans="1:13" x14ac:dyDescent="0.25">
      <c r="A88" s="14" t="s">
        <v>172</v>
      </c>
      <c r="B88" s="14" t="s">
        <v>40</v>
      </c>
      <c r="C88" s="15">
        <v>45403</v>
      </c>
      <c r="D88" s="14" t="s">
        <v>214</v>
      </c>
      <c r="E88" s="14" t="s">
        <v>52</v>
      </c>
      <c r="F88" s="14" t="s">
        <v>55</v>
      </c>
      <c r="G88" s="14">
        <v>117</v>
      </c>
      <c r="H88">
        <v>59.33</v>
      </c>
      <c r="I88">
        <v>6941.61</v>
      </c>
      <c r="J88" s="14" t="s">
        <v>173</v>
      </c>
      <c r="K88" s="14" t="s">
        <v>215</v>
      </c>
      <c r="L88" s="14" t="s">
        <v>47</v>
      </c>
      <c r="M88" s="14" t="s">
        <v>148</v>
      </c>
    </row>
    <row r="89" spans="1:13" x14ac:dyDescent="0.25">
      <c r="A89" s="14" t="s">
        <v>153</v>
      </c>
      <c r="B89" s="14" t="s">
        <v>40</v>
      </c>
      <c r="C89" s="15">
        <v>45239</v>
      </c>
      <c r="D89" s="14" t="s">
        <v>214</v>
      </c>
      <c r="E89" s="14" t="s">
        <v>52</v>
      </c>
      <c r="F89" s="14" t="s">
        <v>49</v>
      </c>
      <c r="G89" s="14">
        <v>85</v>
      </c>
      <c r="H89">
        <v>37.81</v>
      </c>
      <c r="I89">
        <v>3213.85</v>
      </c>
      <c r="J89" s="14" t="s">
        <v>174</v>
      </c>
      <c r="K89" s="14" t="s">
        <v>216</v>
      </c>
      <c r="L89" s="14" t="s">
        <v>62</v>
      </c>
      <c r="M89" s="14" t="s">
        <v>148</v>
      </c>
    </row>
    <row r="90" spans="1:13" x14ac:dyDescent="0.25">
      <c r="A90" s="14" t="s">
        <v>153</v>
      </c>
      <c r="B90" s="14" t="s">
        <v>40</v>
      </c>
      <c r="C90" s="15">
        <v>45338</v>
      </c>
      <c r="D90" s="14" t="s">
        <v>214</v>
      </c>
      <c r="E90" s="14" t="s">
        <v>41</v>
      </c>
      <c r="F90" s="14" t="s">
        <v>49</v>
      </c>
      <c r="G90" s="14">
        <v>148</v>
      </c>
      <c r="H90">
        <v>33.729999999999997</v>
      </c>
      <c r="I90">
        <v>4992.04</v>
      </c>
      <c r="J90" s="14" t="s">
        <v>175</v>
      </c>
      <c r="K90" s="14" t="s">
        <v>212</v>
      </c>
      <c r="L90" s="14" t="s">
        <v>51</v>
      </c>
      <c r="M90" s="14" t="s">
        <v>148</v>
      </c>
    </row>
    <row r="91" spans="1:13" x14ac:dyDescent="0.25">
      <c r="A91" s="14" t="s">
        <v>158</v>
      </c>
      <c r="B91" s="14" t="s">
        <v>40</v>
      </c>
      <c r="C91" s="15">
        <v>45456</v>
      </c>
      <c r="D91" s="14" t="s">
        <v>213</v>
      </c>
      <c r="E91" s="14" t="s">
        <v>52</v>
      </c>
      <c r="F91" s="14" t="s">
        <v>55</v>
      </c>
      <c r="G91" s="14">
        <v>123</v>
      </c>
      <c r="H91">
        <v>35.03</v>
      </c>
      <c r="I91">
        <v>4308.6899999999996</v>
      </c>
      <c r="J91" s="14" t="s">
        <v>176</v>
      </c>
      <c r="K91" s="14" t="s">
        <v>216</v>
      </c>
      <c r="L91" s="14" t="s">
        <v>44</v>
      </c>
      <c r="M91" s="14" t="s">
        <v>148</v>
      </c>
    </row>
    <row r="92" spans="1:13" x14ac:dyDescent="0.25">
      <c r="A92" s="14" t="s">
        <v>177</v>
      </c>
      <c r="B92" s="14" t="s">
        <v>67</v>
      </c>
      <c r="C92" s="15">
        <v>45248</v>
      </c>
      <c r="D92" s="14" t="s">
        <v>213</v>
      </c>
      <c r="E92" s="14" t="s">
        <v>52</v>
      </c>
      <c r="F92" s="14" t="s">
        <v>42</v>
      </c>
      <c r="G92" s="14">
        <v>35</v>
      </c>
      <c r="H92">
        <v>35.79</v>
      </c>
      <c r="I92">
        <v>1252.6500000000001</v>
      </c>
      <c r="J92" s="14" t="s">
        <v>178</v>
      </c>
      <c r="K92" s="14" t="s">
        <v>216</v>
      </c>
      <c r="L92" s="14" t="s">
        <v>47</v>
      </c>
      <c r="M92" s="14" t="s">
        <v>148</v>
      </c>
    </row>
    <row r="93" spans="1:13" x14ac:dyDescent="0.25">
      <c r="A93" s="14" t="s">
        <v>179</v>
      </c>
      <c r="B93" s="14" t="s">
        <v>67</v>
      </c>
      <c r="C93" s="15">
        <v>45336</v>
      </c>
      <c r="D93" s="14" t="s">
        <v>211</v>
      </c>
      <c r="E93" s="14" t="s">
        <v>52</v>
      </c>
      <c r="F93" s="14" t="s">
        <v>49</v>
      </c>
      <c r="G93" s="14">
        <v>50</v>
      </c>
      <c r="H93">
        <v>37.4</v>
      </c>
      <c r="I93">
        <v>1870</v>
      </c>
      <c r="J93" s="14" t="s">
        <v>180</v>
      </c>
      <c r="K93" s="14" t="s">
        <v>212</v>
      </c>
      <c r="L93" s="14" t="s">
        <v>44</v>
      </c>
      <c r="M93" s="14" t="s">
        <v>148</v>
      </c>
    </row>
    <row r="94" spans="1:13" x14ac:dyDescent="0.25">
      <c r="A94" s="14" t="s">
        <v>181</v>
      </c>
      <c r="B94" s="14" t="s">
        <v>67</v>
      </c>
      <c r="C94" s="15">
        <v>45111</v>
      </c>
      <c r="D94" s="14" t="s">
        <v>214</v>
      </c>
      <c r="E94" s="14" t="s">
        <v>41</v>
      </c>
      <c r="F94" s="14" t="s">
        <v>55</v>
      </c>
      <c r="G94" s="14">
        <v>75</v>
      </c>
      <c r="H94">
        <v>25.88</v>
      </c>
      <c r="I94">
        <v>1941</v>
      </c>
      <c r="J94" s="14" t="s">
        <v>182</v>
      </c>
      <c r="K94" s="14" t="s">
        <v>215</v>
      </c>
      <c r="L94" s="14" t="s">
        <v>47</v>
      </c>
      <c r="M94" s="14" t="s">
        <v>148</v>
      </c>
    </row>
    <row r="95" spans="1:13" x14ac:dyDescent="0.25">
      <c r="A95" s="14" t="s">
        <v>183</v>
      </c>
      <c r="B95" s="14" t="s">
        <v>67</v>
      </c>
      <c r="C95" s="15">
        <v>45313</v>
      </c>
      <c r="D95" s="14" t="s">
        <v>211</v>
      </c>
      <c r="E95" s="14" t="s">
        <v>52</v>
      </c>
      <c r="F95" s="14" t="s">
        <v>42</v>
      </c>
      <c r="G95" s="14">
        <v>80</v>
      </c>
      <c r="H95">
        <v>39.47</v>
      </c>
      <c r="I95">
        <v>3157.6</v>
      </c>
      <c r="J95" s="14" t="s">
        <v>184</v>
      </c>
      <c r="K95" s="14" t="s">
        <v>212</v>
      </c>
      <c r="L95" s="14" t="s">
        <v>59</v>
      </c>
      <c r="M95" s="14" t="s">
        <v>148</v>
      </c>
    </row>
    <row r="96" spans="1:13" x14ac:dyDescent="0.25">
      <c r="A96" s="14" t="s">
        <v>177</v>
      </c>
      <c r="B96" s="14" t="s">
        <v>67</v>
      </c>
      <c r="C96" s="15">
        <v>44997</v>
      </c>
      <c r="D96" s="14" t="s">
        <v>213</v>
      </c>
      <c r="E96" s="14" t="s">
        <v>41</v>
      </c>
      <c r="F96" s="14" t="s">
        <v>49</v>
      </c>
      <c r="G96" s="14">
        <v>90</v>
      </c>
      <c r="H96">
        <v>32.549999999999997</v>
      </c>
      <c r="I96">
        <v>2929.5</v>
      </c>
      <c r="J96" s="14" t="s">
        <v>185</v>
      </c>
      <c r="K96" s="14" t="s">
        <v>216</v>
      </c>
      <c r="L96" s="14" t="s">
        <v>47</v>
      </c>
      <c r="M96" s="14" t="s">
        <v>148</v>
      </c>
    </row>
    <row r="97" spans="1:13" x14ac:dyDescent="0.25">
      <c r="A97" s="14" t="s">
        <v>186</v>
      </c>
      <c r="B97" s="14" t="s">
        <v>67</v>
      </c>
      <c r="C97" s="15">
        <v>45525</v>
      </c>
      <c r="D97" s="14" t="s">
        <v>214</v>
      </c>
      <c r="E97" s="14" t="s">
        <v>52</v>
      </c>
      <c r="F97" s="14" t="s">
        <v>55</v>
      </c>
      <c r="G97" s="14">
        <v>60</v>
      </c>
      <c r="H97">
        <v>38.6</v>
      </c>
      <c r="I97">
        <v>2316</v>
      </c>
      <c r="J97" s="14" t="s">
        <v>187</v>
      </c>
      <c r="K97" s="14" t="s">
        <v>216</v>
      </c>
      <c r="L97" s="14" t="s">
        <v>51</v>
      </c>
      <c r="M97" s="14" t="s">
        <v>148</v>
      </c>
    </row>
    <row r="98" spans="1:13" x14ac:dyDescent="0.25">
      <c r="A98" s="14" t="s">
        <v>179</v>
      </c>
      <c r="B98" s="14" t="s">
        <v>67</v>
      </c>
      <c r="C98" s="15">
        <v>45055</v>
      </c>
      <c r="D98" s="14" t="s">
        <v>211</v>
      </c>
      <c r="E98" s="14" t="s">
        <v>52</v>
      </c>
      <c r="F98" s="14" t="s">
        <v>42</v>
      </c>
      <c r="G98" s="14">
        <v>55</v>
      </c>
      <c r="H98">
        <v>30.25</v>
      </c>
      <c r="I98">
        <v>1663.75</v>
      </c>
      <c r="J98" s="14" t="s">
        <v>188</v>
      </c>
      <c r="K98" s="14" t="s">
        <v>215</v>
      </c>
      <c r="L98" s="14" t="s">
        <v>44</v>
      </c>
      <c r="M98" s="14" t="s">
        <v>148</v>
      </c>
    </row>
    <row r="99" spans="1:13" x14ac:dyDescent="0.25">
      <c r="A99" s="14" t="s">
        <v>179</v>
      </c>
      <c r="B99" s="14" t="s">
        <v>67</v>
      </c>
      <c r="C99" s="15">
        <v>45454</v>
      </c>
      <c r="D99" s="14" t="s">
        <v>213</v>
      </c>
      <c r="E99" s="14" t="s">
        <v>63</v>
      </c>
      <c r="F99" s="14" t="s">
        <v>49</v>
      </c>
      <c r="G99" s="14">
        <v>85</v>
      </c>
      <c r="H99">
        <v>36.44</v>
      </c>
      <c r="I99">
        <v>3097.4</v>
      </c>
      <c r="J99" s="14" t="s">
        <v>189</v>
      </c>
      <c r="K99" s="14" t="s">
        <v>212</v>
      </c>
      <c r="L99" s="14" t="s">
        <v>47</v>
      </c>
      <c r="M99" s="14" t="s">
        <v>148</v>
      </c>
    </row>
    <row r="100" spans="1:13" x14ac:dyDescent="0.25">
      <c r="A100" s="14" t="s">
        <v>190</v>
      </c>
      <c r="B100" s="14" t="s">
        <v>67</v>
      </c>
      <c r="C100" s="15">
        <v>45253</v>
      </c>
      <c r="D100" s="14" t="s">
        <v>214</v>
      </c>
      <c r="E100" s="14" t="s">
        <v>41</v>
      </c>
      <c r="F100" s="14" t="s">
        <v>42</v>
      </c>
      <c r="G100" s="14">
        <v>40</v>
      </c>
      <c r="H100">
        <v>27.33</v>
      </c>
      <c r="I100">
        <v>1093.2</v>
      </c>
      <c r="J100" s="14" t="s">
        <v>191</v>
      </c>
      <c r="K100" s="14" t="s">
        <v>216</v>
      </c>
      <c r="L100" s="14" t="s">
        <v>62</v>
      </c>
      <c r="M100" s="14" t="s">
        <v>148</v>
      </c>
    </row>
    <row r="101" spans="1:13" x14ac:dyDescent="0.25">
      <c r="A101" s="14" t="s">
        <v>192</v>
      </c>
      <c r="B101" s="14" t="s">
        <v>67</v>
      </c>
      <c r="C101" s="15">
        <v>45306</v>
      </c>
      <c r="D101" s="14" t="s">
        <v>211</v>
      </c>
      <c r="E101" s="14" t="s">
        <v>52</v>
      </c>
      <c r="F101" s="14" t="s">
        <v>49</v>
      </c>
      <c r="G101" s="14">
        <v>95</v>
      </c>
      <c r="H101">
        <v>31.89</v>
      </c>
      <c r="I101">
        <v>3029.55</v>
      </c>
      <c r="J101" s="14" t="s">
        <v>193</v>
      </c>
      <c r="K101" s="14" t="s">
        <v>215</v>
      </c>
      <c r="L101" s="14" t="s">
        <v>59</v>
      </c>
      <c r="M101" s="14" t="s">
        <v>148</v>
      </c>
    </row>
    <row r="102" spans="1:13" x14ac:dyDescent="0.25">
      <c r="A102" s="14" t="s">
        <v>194</v>
      </c>
      <c r="B102" s="14" t="s">
        <v>93</v>
      </c>
      <c r="C102" s="15">
        <v>45595</v>
      </c>
      <c r="D102" s="14" t="s">
        <v>214</v>
      </c>
      <c r="E102" s="14" t="s">
        <v>41</v>
      </c>
      <c r="F102" s="14" t="s">
        <v>55</v>
      </c>
      <c r="G102" s="14">
        <v>30</v>
      </c>
      <c r="H102">
        <v>18.600000000000001</v>
      </c>
      <c r="I102">
        <v>558</v>
      </c>
      <c r="J102" s="14" t="s">
        <v>195</v>
      </c>
      <c r="K102" s="14" t="s">
        <v>216</v>
      </c>
      <c r="L102" s="14" t="s">
        <v>44</v>
      </c>
      <c r="M102" s="14" t="s">
        <v>148</v>
      </c>
    </row>
    <row r="103" spans="1:13" x14ac:dyDescent="0.25">
      <c r="A103" s="14" t="s">
        <v>196</v>
      </c>
      <c r="B103" s="14" t="s">
        <v>93</v>
      </c>
      <c r="C103" s="15">
        <v>45383</v>
      </c>
      <c r="D103" s="14" t="s">
        <v>213</v>
      </c>
      <c r="E103" s="14" t="s">
        <v>52</v>
      </c>
      <c r="F103" s="14" t="s">
        <v>49</v>
      </c>
      <c r="G103" s="14">
        <v>50</v>
      </c>
      <c r="H103">
        <v>20.399999999999999</v>
      </c>
      <c r="I103">
        <v>1020</v>
      </c>
      <c r="J103" s="14" t="s">
        <v>197</v>
      </c>
      <c r="K103" s="14" t="s">
        <v>215</v>
      </c>
      <c r="L103" s="14" t="s">
        <v>51</v>
      </c>
      <c r="M103" s="14" t="s">
        <v>148</v>
      </c>
    </row>
    <row r="104" spans="1:13" x14ac:dyDescent="0.25">
      <c r="A104" s="14" t="s">
        <v>194</v>
      </c>
      <c r="B104" s="14" t="s">
        <v>93</v>
      </c>
      <c r="C104" s="15">
        <v>45590</v>
      </c>
      <c r="D104" s="14" t="s">
        <v>211</v>
      </c>
      <c r="E104" s="14" t="s">
        <v>41</v>
      </c>
      <c r="F104" s="14" t="s">
        <v>42</v>
      </c>
      <c r="G104" s="14">
        <v>48</v>
      </c>
      <c r="H104">
        <v>22.5</v>
      </c>
      <c r="I104">
        <v>1080</v>
      </c>
      <c r="J104" s="14" t="s">
        <v>198</v>
      </c>
      <c r="K104" s="14" t="s">
        <v>212</v>
      </c>
      <c r="L104" s="14" t="s">
        <v>62</v>
      </c>
      <c r="M104" s="14" t="s">
        <v>148</v>
      </c>
    </row>
    <row r="105" spans="1:13" x14ac:dyDescent="0.25">
      <c r="A105" s="14" t="s">
        <v>194</v>
      </c>
      <c r="B105" s="14" t="s">
        <v>93</v>
      </c>
      <c r="C105" s="15">
        <v>45470</v>
      </c>
      <c r="D105" s="14" t="s">
        <v>213</v>
      </c>
      <c r="E105" s="14" t="s">
        <v>52</v>
      </c>
      <c r="F105" s="14" t="s">
        <v>55</v>
      </c>
      <c r="G105" s="14">
        <v>40</v>
      </c>
      <c r="H105">
        <v>25.3</v>
      </c>
      <c r="I105">
        <v>1012</v>
      </c>
      <c r="J105" s="14" t="s">
        <v>199</v>
      </c>
      <c r="K105" s="14" t="s">
        <v>216</v>
      </c>
      <c r="L105" s="14" t="s">
        <v>47</v>
      </c>
      <c r="M105" s="14" t="s">
        <v>148</v>
      </c>
    </row>
    <row r="106" spans="1:13" x14ac:dyDescent="0.25">
      <c r="A106" s="14" t="s">
        <v>200</v>
      </c>
      <c r="B106" s="14" t="s">
        <v>93</v>
      </c>
      <c r="C106" s="15">
        <v>45423</v>
      </c>
      <c r="D106" s="14" t="s">
        <v>214</v>
      </c>
      <c r="E106" s="14" t="s">
        <v>52</v>
      </c>
      <c r="F106" s="14" t="s">
        <v>49</v>
      </c>
      <c r="G106" s="14">
        <v>60</v>
      </c>
      <c r="H106">
        <v>24.8</v>
      </c>
      <c r="I106">
        <v>1488</v>
      </c>
      <c r="J106" s="14" t="s">
        <v>201</v>
      </c>
      <c r="K106" s="14" t="s">
        <v>216</v>
      </c>
      <c r="L106" s="14" t="s">
        <v>44</v>
      </c>
      <c r="M106" s="14" t="s">
        <v>148</v>
      </c>
    </row>
    <row r="107" spans="1:13" x14ac:dyDescent="0.25">
      <c r="A107" s="14" t="s">
        <v>202</v>
      </c>
      <c r="B107" s="14" t="s">
        <v>93</v>
      </c>
      <c r="C107" s="15">
        <v>45164</v>
      </c>
      <c r="D107" s="14" t="s">
        <v>211</v>
      </c>
      <c r="E107" s="14" t="s">
        <v>52</v>
      </c>
      <c r="F107" s="14" t="s">
        <v>42</v>
      </c>
      <c r="G107" s="14">
        <v>45</v>
      </c>
      <c r="H107">
        <v>26.4</v>
      </c>
      <c r="I107">
        <v>1188</v>
      </c>
      <c r="J107" s="14" t="s">
        <v>203</v>
      </c>
      <c r="K107" s="14" t="s">
        <v>212</v>
      </c>
      <c r="L107" s="14" t="s">
        <v>51</v>
      </c>
      <c r="M107" s="14" t="s">
        <v>148</v>
      </c>
    </row>
    <row r="108" spans="1:13" x14ac:dyDescent="0.25">
      <c r="A108" s="14" t="s">
        <v>200</v>
      </c>
      <c r="B108" s="14" t="s">
        <v>93</v>
      </c>
      <c r="C108" s="15">
        <v>45190</v>
      </c>
      <c r="D108" s="14" t="s">
        <v>213</v>
      </c>
      <c r="E108" s="14" t="s">
        <v>41</v>
      </c>
      <c r="F108" s="14" t="s">
        <v>55</v>
      </c>
      <c r="G108" s="14">
        <v>55</v>
      </c>
      <c r="H108">
        <v>29.95</v>
      </c>
      <c r="I108">
        <v>1647.25</v>
      </c>
      <c r="J108" s="14" t="s">
        <v>204</v>
      </c>
      <c r="K108" s="14" t="s">
        <v>215</v>
      </c>
      <c r="L108" s="14" t="s">
        <v>59</v>
      </c>
      <c r="M108" s="14" t="s">
        <v>148</v>
      </c>
    </row>
    <row r="109" spans="1:13" x14ac:dyDescent="0.25">
      <c r="A109" s="14" t="s">
        <v>202</v>
      </c>
      <c r="B109" s="14" t="s">
        <v>93</v>
      </c>
      <c r="C109" s="15">
        <v>45427</v>
      </c>
      <c r="D109" s="14" t="s">
        <v>214</v>
      </c>
      <c r="E109" s="14" t="s">
        <v>52</v>
      </c>
      <c r="F109" s="14" t="s">
        <v>49</v>
      </c>
      <c r="G109" s="14">
        <v>65</v>
      </c>
      <c r="H109">
        <v>19.850000000000001</v>
      </c>
      <c r="I109">
        <v>1290.25</v>
      </c>
      <c r="J109" s="14" t="s">
        <v>205</v>
      </c>
      <c r="K109" s="14" t="s">
        <v>212</v>
      </c>
      <c r="L109" s="14" t="s">
        <v>62</v>
      </c>
      <c r="M109" s="14" t="s">
        <v>148</v>
      </c>
    </row>
    <row r="110" spans="1:13" x14ac:dyDescent="0.25">
      <c r="A110" s="14" t="s">
        <v>192</v>
      </c>
      <c r="B110" s="14" t="s">
        <v>93</v>
      </c>
      <c r="C110" s="15">
        <v>45306</v>
      </c>
      <c r="D110" s="14" t="s">
        <v>211</v>
      </c>
      <c r="E110" s="14" t="s">
        <v>52</v>
      </c>
      <c r="F110" s="14" t="s">
        <v>49</v>
      </c>
      <c r="G110" s="14">
        <v>70</v>
      </c>
      <c r="H110">
        <v>28.4</v>
      </c>
      <c r="I110">
        <v>1988</v>
      </c>
      <c r="J110" s="14" t="s">
        <v>206</v>
      </c>
      <c r="K110" s="14" t="s">
        <v>215</v>
      </c>
      <c r="L110" s="14" t="s">
        <v>59</v>
      </c>
      <c r="M110" s="14" t="s">
        <v>148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C7F3-2940-45E9-98A8-FC9C05345F40}">
  <sheetPr>
    <tabColor rgb="FFFF0000"/>
  </sheetPr>
  <dimension ref="A1:M65"/>
  <sheetViews>
    <sheetView showGridLines="0" topLeftCell="A58" workbookViewId="0">
      <selection activeCell="F13" sqref="F13"/>
    </sheetView>
  </sheetViews>
  <sheetFormatPr defaultRowHeight="15" x14ac:dyDescent="0.25"/>
  <cols>
    <col min="1" max="1" width="16.140625" style="3" bestFit="1" customWidth="1"/>
    <col min="2" max="2" width="15.85546875" style="3" bestFit="1" customWidth="1"/>
    <col min="3" max="3" width="21.5703125" style="3" bestFit="1" customWidth="1"/>
    <col min="4" max="4" width="18.140625" style="3" bestFit="1" customWidth="1"/>
    <col min="5" max="5" width="23.85546875" style="3" bestFit="1" customWidth="1"/>
    <col min="6" max="6" width="21.7109375" style="3" bestFit="1" customWidth="1"/>
    <col min="7" max="7" width="14.28515625" style="3" bestFit="1" customWidth="1"/>
    <col min="8" max="8" width="21.85546875" style="3" bestFit="1" customWidth="1"/>
    <col min="9" max="9" width="23.7109375" style="3" bestFit="1" customWidth="1"/>
    <col min="10" max="10" width="15.7109375" style="3" bestFit="1" customWidth="1"/>
    <col min="11" max="11" width="23" style="3" bestFit="1" customWidth="1"/>
    <col min="12" max="12" width="24.140625" style="18" bestFit="1" customWidth="1"/>
    <col min="13" max="13" width="21.85546875" style="3" bestFit="1" customWidth="1"/>
    <col min="14" max="16384" width="9.140625" style="3"/>
  </cols>
  <sheetData>
    <row r="1" spans="1:13" x14ac:dyDescent="0.25">
      <c r="A1" s="3" t="s">
        <v>217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18" t="s">
        <v>279</v>
      </c>
      <c r="M1" s="3" t="s">
        <v>280</v>
      </c>
    </row>
    <row r="2" spans="1:13" x14ac:dyDescent="0.25">
      <c r="A2" s="16">
        <v>45261</v>
      </c>
      <c r="B2" s="17" t="s">
        <v>5</v>
      </c>
      <c r="C2" s="17" t="s">
        <v>228</v>
      </c>
      <c r="D2" s="17" t="s">
        <v>229</v>
      </c>
      <c r="E2" s="18">
        <v>749</v>
      </c>
      <c r="F2" s="3">
        <v>1</v>
      </c>
      <c r="G2" s="17" t="s">
        <v>230</v>
      </c>
      <c r="H2" s="3">
        <v>24</v>
      </c>
      <c r="I2" s="17" t="s">
        <v>231</v>
      </c>
      <c r="J2" s="17" t="s">
        <v>232</v>
      </c>
      <c r="K2" s="3">
        <v>6.0731371118138325E-2</v>
      </c>
      <c r="L2" s="18">
        <f>Planilha1[[#This Row],[Preço de Venda (R$)]]*Planilha1[[#This Row],[Quantidade Vendida]]</f>
        <v>749</v>
      </c>
      <c r="M2" s="19" cm="1">
        <f t="array" ref="M2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5.6605199516324062E-2</v>
      </c>
    </row>
    <row r="3" spans="1:13" x14ac:dyDescent="0.25">
      <c r="A3" s="16">
        <v>45262</v>
      </c>
      <c r="B3" s="17" t="s">
        <v>6</v>
      </c>
      <c r="C3" s="17" t="s">
        <v>233</v>
      </c>
      <c r="D3" s="17" t="s">
        <v>234</v>
      </c>
      <c r="E3" s="18">
        <v>299</v>
      </c>
      <c r="F3" s="3">
        <v>2</v>
      </c>
      <c r="G3" s="17" t="s">
        <v>235</v>
      </c>
      <c r="H3" s="3">
        <v>30</v>
      </c>
      <c r="I3" s="17" t="s">
        <v>236</v>
      </c>
      <c r="J3" s="17" t="s">
        <v>232</v>
      </c>
      <c r="K3" s="3">
        <v>2.4241932868493594E-2</v>
      </c>
      <c r="L3" s="18">
        <f>Planilha1[[#This Row],[Preço de Venda (R$)]]*Planilha1[[#This Row],[Quantidade Vendida]]</f>
        <v>598</v>
      </c>
      <c r="M3" s="19" cm="1">
        <f t="array" ref="M3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4.4188280499519693E-2</v>
      </c>
    </row>
    <row r="4" spans="1:13" x14ac:dyDescent="0.25">
      <c r="A4" s="16">
        <v>45263</v>
      </c>
      <c r="B4" s="17" t="s">
        <v>237</v>
      </c>
      <c r="C4" s="17" t="s">
        <v>238</v>
      </c>
      <c r="D4" s="17" t="s">
        <v>239</v>
      </c>
      <c r="E4" s="18">
        <v>599</v>
      </c>
      <c r="F4" s="3">
        <v>1</v>
      </c>
      <c r="G4" s="17" t="s">
        <v>240</v>
      </c>
      <c r="H4" s="3">
        <v>35</v>
      </c>
      <c r="I4" s="17" t="s">
        <v>231</v>
      </c>
      <c r="J4" s="17" t="s">
        <v>232</v>
      </c>
      <c r="K4" s="3">
        <v>4.8568880240006489E-2</v>
      </c>
      <c r="L4" s="18">
        <f>Planilha1[[#This Row],[Preço de Venda (R$)]]*Planilha1[[#This Row],[Quantidade Vendida]]</f>
        <v>599</v>
      </c>
      <c r="M4" s="19" cm="1">
        <f t="array" ref="M4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4.0552433823031614E-2</v>
      </c>
    </row>
    <row r="5" spans="1:13" x14ac:dyDescent="0.25">
      <c r="A5" s="16">
        <v>45264</v>
      </c>
      <c r="B5" s="17" t="s">
        <v>5</v>
      </c>
      <c r="C5" s="17" t="s">
        <v>241</v>
      </c>
      <c r="D5" s="17" t="s">
        <v>242</v>
      </c>
      <c r="E5" s="18">
        <v>549</v>
      </c>
      <c r="F5" s="3">
        <v>1</v>
      </c>
      <c r="G5" s="17" t="s">
        <v>243</v>
      </c>
      <c r="H5" s="3">
        <v>22</v>
      </c>
      <c r="I5" s="17" t="s">
        <v>236</v>
      </c>
      <c r="J5" s="17" t="s">
        <v>232</v>
      </c>
      <c r="K5" s="3">
        <v>4.4514716613962536E-2</v>
      </c>
      <c r="L5" s="18">
        <f>Planilha1[[#This Row],[Preço de Venda (R$)]]*Planilha1[[#This Row],[Quantidade Vendida]]</f>
        <v>549</v>
      </c>
      <c r="M5" s="19" cm="1">
        <f t="array" ref="M5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4.1490326481257556E-2</v>
      </c>
    </row>
    <row r="6" spans="1:13" x14ac:dyDescent="0.25">
      <c r="A6" s="16">
        <v>45265</v>
      </c>
      <c r="B6" s="17" t="s">
        <v>6</v>
      </c>
      <c r="C6" s="17" t="s">
        <v>244</v>
      </c>
      <c r="D6" s="17" t="s">
        <v>245</v>
      </c>
      <c r="E6" s="18">
        <v>649</v>
      </c>
      <c r="F6" s="3">
        <v>1</v>
      </c>
      <c r="G6" s="17" t="s">
        <v>246</v>
      </c>
      <c r="H6" s="3">
        <v>28</v>
      </c>
      <c r="I6" s="17" t="s">
        <v>236</v>
      </c>
      <c r="J6" s="17" t="s">
        <v>232</v>
      </c>
      <c r="K6" s="3">
        <v>5.2618777363385764E-2</v>
      </c>
      <c r="L6" s="18">
        <f>Planilha1[[#This Row],[Preço de Venda (R$)]]*Planilha1[[#This Row],[Quantidade Vendida]]</f>
        <v>649</v>
      </c>
      <c r="M6" s="19" cm="1">
        <f t="array" ref="M6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4.7956846227739602E-2</v>
      </c>
    </row>
    <row r="7" spans="1:13" x14ac:dyDescent="0.25">
      <c r="A7" s="16">
        <v>45266</v>
      </c>
      <c r="B7" s="17" t="s">
        <v>237</v>
      </c>
      <c r="C7" s="17" t="s">
        <v>247</v>
      </c>
      <c r="D7" s="17" t="s">
        <v>248</v>
      </c>
      <c r="E7" s="18">
        <v>579</v>
      </c>
      <c r="F7" s="3">
        <v>2</v>
      </c>
      <c r="G7" s="17" t="s">
        <v>249</v>
      </c>
      <c r="H7" s="3">
        <v>33</v>
      </c>
      <c r="I7" s="17" t="s">
        <v>231</v>
      </c>
      <c r="J7" s="17" t="s">
        <v>232</v>
      </c>
      <c r="K7" s="3">
        <v>4.6947214789588909E-2</v>
      </c>
      <c r="L7" s="18">
        <f>Planilha1[[#This Row],[Preço de Venda (R$)]]*Planilha1[[#This Row],[Quantidade Vendida]]</f>
        <v>1158</v>
      </c>
      <c r="M7" s="19" cm="1">
        <f t="array" ref="M7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7.839685870963374E-2</v>
      </c>
    </row>
    <row r="8" spans="1:13" x14ac:dyDescent="0.25">
      <c r="A8" s="16">
        <v>45267</v>
      </c>
      <c r="B8" s="17" t="s">
        <v>5</v>
      </c>
      <c r="C8" s="17" t="s">
        <v>250</v>
      </c>
      <c r="D8" s="17" t="s">
        <v>251</v>
      </c>
      <c r="E8" s="18">
        <v>359</v>
      </c>
      <c r="F8" s="3">
        <v>1</v>
      </c>
      <c r="G8" s="17" t="s">
        <v>252</v>
      </c>
      <c r="H8" s="3">
        <v>19</v>
      </c>
      <c r="I8" s="17" t="s">
        <v>231</v>
      </c>
      <c r="J8" s="17" t="s">
        <v>232</v>
      </c>
      <c r="K8" s="3">
        <v>2.9108894834995541E-2</v>
      </c>
      <c r="L8" s="18">
        <f>Planilha1[[#This Row],[Preço de Venda (R$)]]*Planilha1[[#This Row],[Quantidade Vendida]]</f>
        <v>359</v>
      </c>
      <c r="M8" s="19" cm="1">
        <f t="array" ref="M8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2.7131197097944378E-2</v>
      </c>
    </row>
    <row r="9" spans="1:13" x14ac:dyDescent="0.25">
      <c r="A9" s="16">
        <v>45268</v>
      </c>
      <c r="B9" s="17" t="s">
        <v>6</v>
      </c>
      <c r="C9" s="17" t="s">
        <v>253</v>
      </c>
      <c r="D9" s="17" t="s">
        <v>254</v>
      </c>
      <c r="E9" s="18">
        <v>899</v>
      </c>
      <c r="F9" s="3">
        <v>1</v>
      </c>
      <c r="G9" s="17" t="s">
        <v>255</v>
      </c>
      <c r="H9" s="3">
        <v>27</v>
      </c>
      <c r="I9" s="17" t="s">
        <v>236</v>
      </c>
      <c r="J9" s="17" t="s">
        <v>232</v>
      </c>
      <c r="K9" s="3">
        <v>7.2887952002594458E-2</v>
      </c>
      <c r="L9" s="18">
        <f>Planilha1[[#This Row],[Preço de Venda (R$)]]*Planilha1[[#This Row],[Quantidade Vendida]]</f>
        <v>899</v>
      </c>
      <c r="M9" s="19" cm="1">
        <f t="array" ref="M9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6.6430207640582287E-2</v>
      </c>
    </row>
    <row r="10" spans="1:13" x14ac:dyDescent="0.25">
      <c r="A10" s="16">
        <v>45269</v>
      </c>
      <c r="B10" s="17" t="s">
        <v>237</v>
      </c>
      <c r="C10" s="17" t="s">
        <v>256</v>
      </c>
      <c r="D10" s="17" t="s">
        <v>257</v>
      </c>
      <c r="E10" s="18">
        <v>779</v>
      </c>
      <c r="F10" s="3">
        <v>1</v>
      </c>
      <c r="G10" s="17" t="s">
        <v>258</v>
      </c>
      <c r="H10" s="3">
        <v>36</v>
      </c>
      <c r="I10" s="17" t="s">
        <v>236</v>
      </c>
      <c r="J10" s="17" t="s">
        <v>232</v>
      </c>
      <c r="K10" s="3">
        <v>6.3163869293764691E-2</v>
      </c>
      <c r="L10" s="18">
        <f>Planilha1[[#This Row],[Preço de Venda (R$)]]*Planilha1[[#This Row],[Quantidade Vendida]]</f>
        <v>779</v>
      </c>
      <c r="M10" s="19" cm="1">
        <f t="array" ref="M10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5.2738474036964321E-2</v>
      </c>
    </row>
    <row r="11" spans="1:13" x14ac:dyDescent="0.25">
      <c r="A11" s="16">
        <v>45270</v>
      </c>
      <c r="B11" s="17" t="s">
        <v>5</v>
      </c>
      <c r="C11" s="17" t="s">
        <v>259</v>
      </c>
      <c r="D11" s="17" t="s">
        <v>260</v>
      </c>
      <c r="E11" s="18">
        <v>699</v>
      </c>
      <c r="F11" s="3">
        <v>1</v>
      </c>
      <c r="G11" s="17" t="s">
        <v>261</v>
      </c>
      <c r="H11" s="3">
        <v>25</v>
      </c>
      <c r="I11" s="17" t="s">
        <v>231</v>
      </c>
      <c r="J11" s="17" t="s">
        <v>232</v>
      </c>
      <c r="K11" s="3">
        <v>5.6677207492094379E-2</v>
      </c>
      <c r="L11" s="18">
        <f>Planilha1[[#This Row],[Preço de Venda (R$)]]*Planilha1[[#This Row],[Quantidade Vendida]]</f>
        <v>699</v>
      </c>
      <c r="M11" s="19" cm="1">
        <f t="array" ref="M11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5.2826481257557435E-2</v>
      </c>
    </row>
    <row r="12" spans="1:13" x14ac:dyDescent="0.25">
      <c r="A12" s="16">
        <v>45271</v>
      </c>
      <c r="B12" s="17" t="s">
        <v>6</v>
      </c>
      <c r="C12" s="17" t="s">
        <v>228</v>
      </c>
      <c r="D12" s="17" t="s">
        <v>229</v>
      </c>
      <c r="E12" s="18">
        <v>750</v>
      </c>
      <c r="F12" s="3">
        <v>1</v>
      </c>
      <c r="G12" s="17" t="s">
        <v>262</v>
      </c>
      <c r="H12" s="3">
        <v>20</v>
      </c>
      <c r="I12" s="17" t="s">
        <v>236</v>
      </c>
      <c r="J12" s="17" t="s">
        <v>232</v>
      </c>
      <c r="K12" s="3">
        <v>6.0807523917626075E-2</v>
      </c>
      <c r="L12" s="18">
        <f>Planilha1[[#This Row],[Preço de Venda (R$)]]*Planilha1[[#This Row],[Quantidade Vendida]]</f>
        <v>750</v>
      </c>
      <c r="M12" s="19" cm="1">
        <f t="array" ref="M12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5.5420084238528046E-2</v>
      </c>
    </row>
    <row r="13" spans="1:13" x14ac:dyDescent="0.25">
      <c r="A13" s="16">
        <v>45272</v>
      </c>
      <c r="B13" s="17" t="s">
        <v>237</v>
      </c>
      <c r="C13" s="17" t="s">
        <v>233</v>
      </c>
      <c r="D13" s="17" t="s">
        <v>234</v>
      </c>
      <c r="E13" s="18">
        <v>300</v>
      </c>
      <c r="F13" s="3">
        <v>1</v>
      </c>
      <c r="G13" s="17" t="s">
        <v>263</v>
      </c>
      <c r="H13" s="3">
        <v>34</v>
      </c>
      <c r="I13" s="17" t="s">
        <v>231</v>
      </c>
      <c r="J13" s="17" t="s">
        <v>232</v>
      </c>
      <c r="K13" s="3">
        <v>2.4324981756263683E-2</v>
      </c>
      <c r="L13" s="18">
        <f>Planilha1[[#This Row],[Preço de Venda (R$)]]*Planilha1[[#This Row],[Quantidade Vendida]]</f>
        <v>300</v>
      </c>
      <c r="M13" s="19" cm="1">
        <f t="array" ref="M13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2.0310067023221176E-2</v>
      </c>
    </row>
    <row r="14" spans="1:13" x14ac:dyDescent="0.25">
      <c r="A14" s="16">
        <v>45273</v>
      </c>
      <c r="B14" s="17" t="s">
        <v>5</v>
      </c>
      <c r="C14" s="17" t="s">
        <v>238</v>
      </c>
      <c r="D14" s="17" t="s">
        <v>239</v>
      </c>
      <c r="E14" s="18">
        <v>600</v>
      </c>
      <c r="F14" s="3">
        <v>2</v>
      </c>
      <c r="G14" s="17" t="s">
        <v>264</v>
      </c>
      <c r="H14" s="3">
        <v>29</v>
      </c>
      <c r="I14" s="17" t="s">
        <v>236</v>
      </c>
      <c r="J14" s="17" t="s">
        <v>232</v>
      </c>
      <c r="K14" s="3">
        <v>4.8649963512527365E-2</v>
      </c>
      <c r="L14" s="18">
        <f>Planilha1[[#This Row],[Preço de Venda (R$)]]*Planilha1[[#This Row],[Quantidade Vendida]]</f>
        <v>1200</v>
      </c>
      <c r="M14" s="19" cm="1">
        <f t="array" ref="M14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9.0689238210399037E-2</v>
      </c>
    </row>
    <row r="15" spans="1:13" x14ac:dyDescent="0.25">
      <c r="A15" s="16">
        <v>45274</v>
      </c>
      <c r="B15" s="17" t="s">
        <v>6</v>
      </c>
      <c r="C15" s="17" t="s">
        <v>241</v>
      </c>
      <c r="D15" s="17" t="s">
        <v>242</v>
      </c>
      <c r="E15" s="18">
        <v>550</v>
      </c>
      <c r="F15" s="3">
        <v>1</v>
      </c>
      <c r="G15" s="17" t="s">
        <v>265</v>
      </c>
      <c r="H15" s="3">
        <v>22</v>
      </c>
      <c r="I15" s="17" t="s">
        <v>231</v>
      </c>
      <c r="J15" s="17" t="s">
        <v>232</v>
      </c>
      <c r="K15" s="3">
        <v>4.4592184206259121E-2</v>
      </c>
      <c r="L15" s="18">
        <f>Planilha1[[#This Row],[Preço de Venda (R$)]]*Planilha1[[#This Row],[Quantidade Vendida]]</f>
        <v>550</v>
      </c>
      <c r="M15" s="19" cm="1">
        <f t="array" ref="M15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4.0641395108253896E-2</v>
      </c>
    </row>
    <row r="16" spans="1:13" x14ac:dyDescent="0.25">
      <c r="A16" s="16">
        <v>45275</v>
      </c>
      <c r="B16" s="17" t="s">
        <v>237</v>
      </c>
      <c r="C16" s="17" t="s">
        <v>244</v>
      </c>
      <c r="D16" s="17" t="s">
        <v>245</v>
      </c>
      <c r="E16" s="18">
        <v>650</v>
      </c>
      <c r="F16" s="3">
        <v>1</v>
      </c>
      <c r="G16" s="17" t="s">
        <v>266</v>
      </c>
      <c r="H16" s="3">
        <v>45</v>
      </c>
      <c r="I16" s="17" t="s">
        <v>236</v>
      </c>
      <c r="J16" s="17" t="s">
        <v>232</v>
      </c>
      <c r="K16" s="3">
        <v>5.2704127138571311E-2</v>
      </c>
      <c r="L16" s="18">
        <f>Planilha1[[#This Row],[Preço de Venda (R$)]]*Planilha1[[#This Row],[Quantidade Vendida]]</f>
        <v>650</v>
      </c>
      <c r="M16" s="19" cm="1">
        <f t="array" ref="M16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4.4005145216979215E-2</v>
      </c>
    </row>
    <row r="17" spans="1:13" x14ac:dyDescent="0.25">
      <c r="A17" s="16">
        <v>45276</v>
      </c>
      <c r="B17" s="17" t="s">
        <v>5</v>
      </c>
      <c r="C17" s="17" t="s">
        <v>247</v>
      </c>
      <c r="D17" s="17" t="s">
        <v>248</v>
      </c>
      <c r="E17" s="18">
        <v>580</v>
      </c>
      <c r="F17" s="3">
        <v>1</v>
      </c>
      <c r="G17" s="17" t="s">
        <v>267</v>
      </c>
      <c r="H17" s="3">
        <v>27</v>
      </c>
      <c r="I17" s="17" t="s">
        <v>231</v>
      </c>
      <c r="J17" s="17" t="s">
        <v>232</v>
      </c>
      <c r="K17" s="3">
        <v>4.7028298062109786E-2</v>
      </c>
      <c r="L17" s="18">
        <f>Planilha1[[#This Row],[Preço de Venda (R$)]]*Planilha1[[#This Row],[Quantidade Vendida]]</f>
        <v>580</v>
      </c>
      <c r="M17" s="19" cm="1">
        <f t="array" ref="M17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4.3833131801692869E-2</v>
      </c>
    </row>
    <row r="18" spans="1:13" x14ac:dyDescent="0.25">
      <c r="A18" s="16">
        <v>45277</v>
      </c>
      <c r="B18" s="17" t="s">
        <v>6</v>
      </c>
      <c r="C18" s="17" t="s">
        <v>250</v>
      </c>
      <c r="D18" s="17" t="s">
        <v>251</v>
      </c>
      <c r="E18" s="18">
        <v>360</v>
      </c>
      <c r="F18" s="3">
        <v>1</v>
      </c>
      <c r="G18" s="17" t="s">
        <v>268</v>
      </c>
      <c r="H18" s="3">
        <v>31</v>
      </c>
      <c r="I18" s="17" t="s">
        <v>236</v>
      </c>
      <c r="J18" s="17" t="s">
        <v>232</v>
      </c>
      <c r="K18" s="3">
        <v>2.9187611480460517E-2</v>
      </c>
      <c r="L18" s="18">
        <f>Planilha1[[#This Row],[Preço de Venda (R$)]]*Planilha1[[#This Row],[Quantidade Vendida]]</f>
        <v>360</v>
      </c>
      <c r="M18" s="19" cm="1">
        <f t="array" ref="M18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2.6601640434493461E-2</v>
      </c>
    </row>
    <row r="19" spans="1:13" x14ac:dyDescent="0.25">
      <c r="A19" s="16">
        <v>45278</v>
      </c>
      <c r="B19" s="17" t="s">
        <v>237</v>
      </c>
      <c r="C19" s="17" t="s">
        <v>253</v>
      </c>
      <c r="D19" s="17" t="s">
        <v>254</v>
      </c>
      <c r="E19" s="18">
        <v>900</v>
      </c>
      <c r="F19" s="3">
        <v>2</v>
      </c>
      <c r="G19" s="17" t="s">
        <v>269</v>
      </c>
      <c r="H19" s="3">
        <v>26</v>
      </c>
      <c r="I19" s="17" t="s">
        <v>231</v>
      </c>
      <c r="J19" s="17" t="s">
        <v>232</v>
      </c>
      <c r="K19" s="3">
        <v>7.2974945268791044E-2</v>
      </c>
      <c r="L19" s="18">
        <f>Planilha1[[#This Row],[Preço de Venda (R$)]]*Planilha1[[#This Row],[Quantidade Vendida]]</f>
        <v>1800</v>
      </c>
      <c r="M19" s="19" cm="1">
        <f t="array" ref="M19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0.12186040213932706</v>
      </c>
    </row>
    <row r="20" spans="1:13" x14ac:dyDescent="0.25">
      <c r="A20" s="16">
        <v>45279</v>
      </c>
      <c r="B20" s="17" t="s">
        <v>5</v>
      </c>
      <c r="C20" s="17" t="s">
        <v>256</v>
      </c>
      <c r="D20" s="17" t="s">
        <v>257</v>
      </c>
      <c r="E20" s="18">
        <v>780</v>
      </c>
      <c r="F20" s="3">
        <v>1</v>
      </c>
      <c r="G20" s="17" t="s">
        <v>270</v>
      </c>
      <c r="H20" s="3">
        <v>30</v>
      </c>
      <c r="I20" s="17" t="s">
        <v>236</v>
      </c>
      <c r="J20" s="17" t="s">
        <v>232</v>
      </c>
      <c r="K20" s="3">
        <v>6.3244952566285581E-2</v>
      </c>
      <c r="L20" s="18">
        <f>Planilha1[[#This Row],[Preço de Venda (R$)]]*Planilha1[[#This Row],[Quantidade Vendida]]</f>
        <v>780</v>
      </c>
      <c r="M20" s="19" cm="1">
        <f t="array" ref="M20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5.8948004836759368E-2</v>
      </c>
    </row>
    <row r="21" spans="1:13" x14ac:dyDescent="0.25">
      <c r="A21" s="16">
        <v>45280</v>
      </c>
      <c r="B21" s="17" t="s">
        <v>6</v>
      </c>
      <c r="C21" s="17" t="s">
        <v>259</v>
      </c>
      <c r="D21" s="17" t="s">
        <v>260</v>
      </c>
      <c r="E21" s="18">
        <v>700</v>
      </c>
      <c r="F21" s="3">
        <v>1</v>
      </c>
      <c r="G21" s="17" t="s">
        <v>271</v>
      </c>
      <c r="H21" s="3">
        <v>35</v>
      </c>
      <c r="I21" s="17" t="s">
        <v>231</v>
      </c>
      <c r="J21" s="17" t="s">
        <v>232</v>
      </c>
      <c r="K21" s="3">
        <v>5.6753688989784334E-2</v>
      </c>
      <c r="L21" s="18">
        <f>Planilha1[[#This Row],[Preço de Venda (R$)]]*Planilha1[[#This Row],[Quantidade Vendida]]</f>
        <v>700</v>
      </c>
      <c r="M21" s="19" cm="1">
        <f t="array" ref="M21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5.1725411955959505E-2</v>
      </c>
    </row>
    <row r="22" spans="1:13" x14ac:dyDescent="0.25">
      <c r="A22" s="16">
        <v>45281</v>
      </c>
      <c r="B22" s="17" t="s">
        <v>237</v>
      </c>
      <c r="C22" s="17" t="s">
        <v>228</v>
      </c>
      <c r="D22" s="17" t="s">
        <v>229</v>
      </c>
      <c r="E22" s="18">
        <v>749</v>
      </c>
      <c r="F22" s="3">
        <v>1</v>
      </c>
      <c r="G22" s="17" t="s">
        <v>272</v>
      </c>
      <c r="H22" s="3">
        <v>21</v>
      </c>
      <c r="I22" s="17" t="s">
        <v>236</v>
      </c>
      <c r="J22" s="17" t="s">
        <v>232</v>
      </c>
      <c r="K22" s="3">
        <v>6.0731371118138325E-2</v>
      </c>
      <c r="L22" s="18">
        <f>Planilha1[[#This Row],[Preço de Venda (R$)]]*Planilha1[[#This Row],[Quantidade Vendida]]</f>
        <v>749</v>
      </c>
      <c r="M22" s="19" cm="1">
        <f t="array" ref="M22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5.0707467334642202E-2</v>
      </c>
    </row>
    <row r="23" spans="1:13" x14ac:dyDescent="0.25">
      <c r="A23" s="16">
        <v>45282</v>
      </c>
      <c r="B23" s="17" t="s">
        <v>5</v>
      </c>
      <c r="C23" s="17" t="s">
        <v>233</v>
      </c>
      <c r="D23" s="17" t="s">
        <v>234</v>
      </c>
      <c r="E23" s="18">
        <v>299</v>
      </c>
      <c r="F23" s="3">
        <v>2</v>
      </c>
      <c r="G23" s="17" t="s">
        <v>273</v>
      </c>
      <c r="H23" s="3">
        <v>37</v>
      </c>
      <c r="I23" s="17" t="s">
        <v>231</v>
      </c>
      <c r="J23" s="17" t="s">
        <v>232</v>
      </c>
      <c r="K23" s="3">
        <v>2.4243898483742803E-2</v>
      </c>
      <c r="L23" s="18">
        <f>Planilha1[[#This Row],[Preço de Venda (R$)]]*Planilha1[[#This Row],[Quantidade Vendida]]</f>
        <v>598</v>
      </c>
      <c r="M23" s="19" cm="1">
        <f t="array" ref="M23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4.5193470374848853E-2</v>
      </c>
    </row>
    <row r="24" spans="1:13" x14ac:dyDescent="0.25">
      <c r="A24" s="16">
        <v>45283</v>
      </c>
      <c r="B24" s="17" t="s">
        <v>6</v>
      </c>
      <c r="C24" s="17" t="s">
        <v>238</v>
      </c>
      <c r="D24" s="17" t="s">
        <v>239</v>
      </c>
      <c r="E24" s="18">
        <v>599</v>
      </c>
      <c r="F24" s="3">
        <v>1</v>
      </c>
      <c r="G24" s="17" t="s">
        <v>274</v>
      </c>
      <c r="H24" s="3">
        <v>28</v>
      </c>
      <c r="I24" s="17" t="s">
        <v>236</v>
      </c>
      <c r="J24" s="17" t="s">
        <v>232</v>
      </c>
      <c r="K24" s="3">
        <v>4.8564942435544024E-2</v>
      </c>
      <c r="L24" s="18">
        <f>Planilha1[[#This Row],[Preço de Venda (R$)]]*Planilha1[[#This Row],[Quantidade Vendida]]</f>
        <v>599</v>
      </c>
      <c r="M24" s="19" cm="1">
        <f t="array" ref="M24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4.4262173945171061E-2</v>
      </c>
    </row>
    <row r="25" spans="1:13" x14ac:dyDescent="0.25">
      <c r="A25" s="16">
        <v>45284</v>
      </c>
      <c r="B25" s="17" t="s">
        <v>237</v>
      </c>
      <c r="C25" s="17" t="s">
        <v>241</v>
      </c>
      <c r="D25" s="17" t="s">
        <v>242</v>
      </c>
      <c r="E25" s="18">
        <v>549</v>
      </c>
      <c r="F25" s="3">
        <v>1</v>
      </c>
      <c r="G25" s="17" t="s">
        <v>275</v>
      </c>
      <c r="H25" s="3">
        <v>23</v>
      </c>
      <c r="I25" s="17" t="s">
        <v>231</v>
      </c>
      <c r="J25" s="17" t="s">
        <v>232</v>
      </c>
      <c r="K25" s="3">
        <v>4.4514716613962536E-2</v>
      </c>
      <c r="L25" s="18">
        <f>Planilha1[[#This Row],[Preço de Venda (R$)]]*Planilha1[[#This Row],[Quantidade Vendida]]</f>
        <v>549</v>
      </c>
      <c r="M25" s="19" cm="1">
        <f t="array" ref="M25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3.7167422652494751E-2</v>
      </c>
    </row>
    <row r="26" spans="1:13" x14ac:dyDescent="0.25">
      <c r="A26" s="16">
        <v>45285</v>
      </c>
      <c r="B26" s="17" t="s">
        <v>5</v>
      </c>
      <c r="C26" s="17" t="s">
        <v>244</v>
      </c>
      <c r="D26" s="17" t="s">
        <v>245</v>
      </c>
      <c r="E26" s="18">
        <v>649</v>
      </c>
      <c r="F26" s="3">
        <v>1</v>
      </c>
      <c r="G26" s="17" t="s">
        <v>276</v>
      </c>
      <c r="H26" s="3">
        <v>19</v>
      </c>
      <c r="I26" s="17" t="s">
        <v>236</v>
      </c>
      <c r="J26" s="17" t="s">
        <v>232</v>
      </c>
      <c r="K26" s="3">
        <v>5.2623043866050434E-2</v>
      </c>
      <c r="L26" s="18">
        <f>Planilha1[[#This Row],[Preço de Venda (R$)]]*Planilha1[[#This Row],[Quantidade Vendida]]</f>
        <v>649</v>
      </c>
      <c r="M26" s="19" cm="1">
        <f t="array" ref="M26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4.9047762998790809E-2</v>
      </c>
    </row>
    <row r="27" spans="1:13" x14ac:dyDescent="0.25">
      <c r="A27" s="16">
        <v>45286</v>
      </c>
      <c r="B27" s="17" t="s">
        <v>6</v>
      </c>
      <c r="C27" s="17" t="s">
        <v>247</v>
      </c>
      <c r="D27" s="17" t="s">
        <v>248</v>
      </c>
      <c r="E27" s="18">
        <v>579</v>
      </c>
      <c r="F27" s="3">
        <v>1</v>
      </c>
      <c r="G27" s="17" t="s">
        <v>277</v>
      </c>
      <c r="H27" s="3">
        <v>33</v>
      </c>
      <c r="I27" s="17" t="s">
        <v>231</v>
      </c>
      <c r="J27" s="17" t="s">
        <v>232</v>
      </c>
      <c r="K27" s="3">
        <v>4.6943408464407331E-2</v>
      </c>
      <c r="L27" s="18">
        <f>Planilha1[[#This Row],[Preço de Venda (R$)]]*Planilha1[[#This Row],[Quantidade Vendida]]</f>
        <v>579</v>
      </c>
      <c r="M27" s="19" cm="1">
        <f t="array" ref="M27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4.278430503214365E-2</v>
      </c>
    </row>
    <row r="28" spans="1:13" x14ac:dyDescent="0.25">
      <c r="A28" s="16">
        <v>45287</v>
      </c>
      <c r="B28" s="17" t="s">
        <v>237</v>
      </c>
      <c r="C28" s="17" t="s">
        <v>250</v>
      </c>
      <c r="D28" s="17" t="s">
        <v>251</v>
      </c>
      <c r="E28" s="18">
        <v>359</v>
      </c>
      <c r="F28" s="3">
        <v>2</v>
      </c>
      <c r="G28" s="17" t="s">
        <v>278</v>
      </c>
      <c r="H28" s="3">
        <v>22</v>
      </c>
      <c r="I28" s="17" t="s">
        <v>236</v>
      </c>
      <c r="J28" s="17" t="s">
        <v>232</v>
      </c>
      <c r="K28" s="3">
        <v>2.9108894834995541E-2</v>
      </c>
      <c r="L28" s="18">
        <f>Planilha1[[#This Row],[Preço de Venda (R$)]]*Planilha1[[#This Row],[Quantidade Vendida]]</f>
        <v>718</v>
      </c>
      <c r="M28" s="19" cm="1">
        <f t="array" ref="M28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4.8608760408909352E-2</v>
      </c>
    </row>
    <row r="29" spans="1:13" x14ac:dyDescent="0.25">
      <c r="A29" s="16">
        <v>45288</v>
      </c>
      <c r="B29" s="17" t="s">
        <v>5</v>
      </c>
      <c r="C29" s="17" t="s">
        <v>253</v>
      </c>
      <c r="D29" s="17" t="s">
        <v>254</v>
      </c>
      <c r="E29" s="18">
        <v>899</v>
      </c>
      <c r="F29" s="3">
        <v>1</v>
      </c>
      <c r="G29" s="17" t="s">
        <v>246</v>
      </c>
      <c r="H29" s="3">
        <v>27</v>
      </c>
      <c r="I29" s="17" t="s">
        <v>231</v>
      </c>
      <c r="J29" s="17" t="s">
        <v>232</v>
      </c>
      <c r="K29" s="3">
        <v>7.2893861996270168E-2</v>
      </c>
      <c r="L29" s="18">
        <f>Planilha1[[#This Row],[Preço de Venda (R$)]]*Planilha1[[#This Row],[Quantidade Vendida]]</f>
        <v>899</v>
      </c>
      <c r="M29" s="19" cm="1">
        <f t="array" ref="M29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6.7941354292623948E-2</v>
      </c>
    </row>
    <row r="30" spans="1:13" x14ac:dyDescent="0.25">
      <c r="A30" s="16">
        <v>45289</v>
      </c>
      <c r="B30" s="17" t="s">
        <v>6</v>
      </c>
      <c r="C30" s="17" t="s">
        <v>256</v>
      </c>
      <c r="D30" s="17" t="s">
        <v>257</v>
      </c>
      <c r="E30" s="18">
        <v>779</v>
      </c>
      <c r="F30" s="3">
        <v>1</v>
      </c>
      <c r="G30" s="17" t="s">
        <v>230</v>
      </c>
      <c r="H30" s="3">
        <v>36</v>
      </c>
      <c r="I30" s="17" t="s">
        <v>236</v>
      </c>
      <c r="J30" s="17" t="s">
        <v>232</v>
      </c>
      <c r="K30" s="3">
        <v>6.3158748175774285E-2</v>
      </c>
      <c r="L30" s="18">
        <f>Planilha1[[#This Row],[Preço de Venda (R$)]]*Planilha1[[#This Row],[Quantidade Vendida]]</f>
        <v>779</v>
      </c>
      <c r="M30" s="19" cm="1">
        <f t="array" ref="M30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5.7562994162417794E-2</v>
      </c>
    </row>
    <row r="31" spans="1:13" x14ac:dyDescent="0.25">
      <c r="A31" s="16">
        <v>45290</v>
      </c>
      <c r="B31" s="17" t="s">
        <v>237</v>
      </c>
      <c r="C31" s="17" t="s">
        <v>259</v>
      </c>
      <c r="D31" s="17" t="s">
        <v>260</v>
      </c>
      <c r="E31" s="18">
        <v>699</v>
      </c>
      <c r="F31" s="3">
        <v>1</v>
      </c>
      <c r="G31" s="17" t="s">
        <v>249</v>
      </c>
      <c r="H31" s="3">
        <v>25</v>
      </c>
      <c r="I31" s="17" t="s">
        <v>231</v>
      </c>
      <c r="J31" s="17" t="s">
        <v>232</v>
      </c>
      <c r="K31" s="3">
        <v>5.6677207492094379E-2</v>
      </c>
      <c r="L31" s="18">
        <f>Planilha1[[#This Row],[Preço de Venda (R$)]]*Planilha1[[#This Row],[Quantidade Vendida]]</f>
        <v>699</v>
      </c>
      <c r="M31" s="19" cm="1">
        <f t="array" ref="M31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4.7322456164105339E-2</v>
      </c>
    </row>
    <row r="32" spans="1:13" x14ac:dyDescent="0.25">
      <c r="A32" s="16">
        <v>45292</v>
      </c>
      <c r="B32" s="17" t="s">
        <v>5</v>
      </c>
      <c r="C32" s="17" t="s">
        <v>228</v>
      </c>
      <c r="D32" s="17" t="s">
        <v>229</v>
      </c>
      <c r="E32" s="18">
        <v>750</v>
      </c>
      <c r="F32" s="3">
        <v>1</v>
      </c>
      <c r="G32" s="17" t="s">
        <v>235</v>
      </c>
      <c r="H32" s="3">
        <v>29</v>
      </c>
      <c r="I32" s="17" t="s">
        <v>236</v>
      </c>
      <c r="J32" s="17" t="s">
        <v>232</v>
      </c>
      <c r="K32" s="3">
        <v>6.0812454390659208E-2</v>
      </c>
      <c r="L32" s="18">
        <f>Planilha1[[#This Row],[Preço de Venda (R$)]]*Planilha1[[#This Row],[Quantidade Vendida]]</f>
        <v>750</v>
      </c>
      <c r="M32" s="19" cm="1">
        <f t="array" ref="M32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5.6680773881499398E-2</v>
      </c>
    </row>
    <row r="33" spans="1:13" x14ac:dyDescent="0.25">
      <c r="A33" s="16">
        <v>45293</v>
      </c>
      <c r="B33" s="17" t="s">
        <v>6</v>
      </c>
      <c r="C33" s="17" t="s">
        <v>233</v>
      </c>
      <c r="D33" s="17" t="s">
        <v>234</v>
      </c>
      <c r="E33" s="18">
        <v>300</v>
      </c>
      <c r="F33" s="3">
        <v>1</v>
      </c>
      <c r="G33" s="17" t="s">
        <v>243</v>
      </c>
      <c r="H33" s="3">
        <v>32</v>
      </c>
      <c r="I33" s="17" t="s">
        <v>231</v>
      </c>
      <c r="J33" s="17" t="s">
        <v>232</v>
      </c>
      <c r="K33" s="3">
        <v>2.4323009567050431E-2</v>
      </c>
      <c r="L33" s="18">
        <f>Planilha1[[#This Row],[Preço de Venda (R$)]]*Planilha1[[#This Row],[Quantidade Vendida]]</f>
        <v>300</v>
      </c>
      <c r="M33" s="19" cm="1">
        <f t="array" ref="M33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2.2168033695411218E-2</v>
      </c>
    </row>
    <row r="34" spans="1:13" x14ac:dyDescent="0.25">
      <c r="A34" s="16">
        <v>45294</v>
      </c>
      <c r="B34" s="17" t="s">
        <v>237</v>
      </c>
      <c r="C34" s="17" t="s">
        <v>238</v>
      </c>
      <c r="D34" s="17" t="s">
        <v>239</v>
      </c>
      <c r="E34" s="18">
        <v>600</v>
      </c>
      <c r="F34" s="3">
        <v>2</v>
      </c>
      <c r="G34" s="17" t="s">
        <v>240</v>
      </c>
      <c r="H34" s="3">
        <v>21</v>
      </c>
      <c r="I34" s="17" t="s">
        <v>236</v>
      </c>
      <c r="J34" s="17" t="s">
        <v>232</v>
      </c>
      <c r="K34" s="3">
        <v>4.8649963512527365E-2</v>
      </c>
      <c r="L34" s="18">
        <f>Planilha1[[#This Row],[Preço de Venda (R$)]]*Planilha1[[#This Row],[Quantidade Vendida]]</f>
        <v>1200</v>
      </c>
      <c r="M34" s="19" cm="1">
        <f t="array" ref="M34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8.1240268092884704E-2</v>
      </c>
    </row>
    <row r="35" spans="1:13" x14ac:dyDescent="0.25">
      <c r="A35" s="16">
        <v>45295</v>
      </c>
      <c r="B35" s="17" t="s">
        <v>5</v>
      </c>
      <c r="C35" s="17" t="s">
        <v>241</v>
      </c>
      <c r="D35" s="17" t="s">
        <v>242</v>
      </c>
      <c r="E35" s="18">
        <v>550</v>
      </c>
      <c r="F35" s="3">
        <v>1</v>
      </c>
      <c r="G35" s="17" t="s">
        <v>252</v>
      </c>
      <c r="H35" s="3">
        <v>34</v>
      </c>
      <c r="I35" s="17" t="s">
        <v>231</v>
      </c>
      <c r="J35" s="17" t="s">
        <v>232</v>
      </c>
      <c r="K35" s="3">
        <v>4.459579988648342E-2</v>
      </c>
      <c r="L35" s="18">
        <f>Planilha1[[#This Row],[Preço de Venda (R$)]]*Planilha1[[#This Row],[Quantidade Vendida]]</f>
        <v>550</v>
      </c>
      <c r="M35" s="19" cm="1">
        <f t="array" ref="M35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4.1565900846432892E-2</v>
      </c>
    </row>
    <row r="36" spans="1:13" x14ac:dyDescent="0.25">
      <c r="A36" s="16">
        <v>45296</v>
      </c>
      <c r="B36" s="17" t="s">
        <v>6</v>
      </c>
      <c r="C36" s="17" t="s">
        <v>244</v>
      </c>
      <c r="D36" s="17" t="s">
        <v>245</v>
      </c>
      <c r="E36" s="18">
        <v>650</v>
      </c>
      <c r="F36" s="3">
        <v>1</v>
      </c>
      <c r="G36" s="17" t="s">
        <v>258</v>
      </c>
      <c r="H36" s="3">
        <v>28</v>
      </c>
      <c r="I36" s="17" t="s">
        <v>236</v>
      </c>
      <c r="J36" s="17" t="s">
        <v>232</v>
      </c>
      <c r="K36" s="3">
        <v>5.2699854061942594E-2</v>
      </c>
      <c r="L36" s="18">
        <f>Planilha1[[#This Row],[Preço de Venda (R$)]]*Planilha1[[#This Row],[Quantidade Vendida]]</f>
        <v>650</v>
      </c>
      <c r="M36" s="19" cm="1">
        <f t="array" ref="M36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4.8030739673390971E-2</v>
      </c>
    </row>
    <row r="37" spans="1:13" x14ac:dyDescent="0.25">
      <c r="A37" s="16">
        <v>45297</v>
      </c>
      <c r="B37" s="17" t="s">
        <v>237</v>
      </c>
      <c r="C37" s="17" t="s">
        <v>247</v>
      </c>
      <c r="D37" s="17" t="s">
        <v>248</v>
      </c>
      <c r="E37" s="18">
        <v>580</v>
      </c>
      <c r="F37" s="3">
        <v>1</v>
      </c>
      <c r="G37" s="17" t="s">
        <v>261</v>
      </c>
      <c r="H37" s="3">
        <v>30</v>
      </c>
      <c r="I37" s="17" t="s">
        <v>231</v>
      </c>
      <c r="J37" s="17" t="s">
        <v>232</v>
      </c>
      <c r="K37" s="3">
        <v>4.7028298062109786E-2</v>
      </c>
      <c r="L37" s="18">
        <f>Planilha1[[#This Row],[Preço de Venda (R$)]]*Planilha1[[#This Row],[Quantidade Vendida]]</f>
        <v>580</v>
      </c>
      <c r="M37" s="19" cm="1">
        <f t="array" ref="M37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3.9266129578227608E-2</v>
      </c>
    </row>
    <row r="38" spans="1:13" x14ac:dyDescent="0.25">
      <c r="A38" s="16">
        <v>45298</v>
      </c>
      <c r="B38" s="17" t="s">
        <v>5</v>
      </c>
      <c r="C38" s="17" t="s">
        <v>250</v>
      </c>
      <c r="D38" s="17" t="s">
        <v>251</v>
      </c>
      <c r="E38" s="18">
        <v>360</v>
      </c>
      <c r="F38" s="3">
        <v>1</v>
      </c>
      <c r="G38" s="17" t="s">
        <v>255</v>
      </c>
      <c r="H38" s="3">
        <v>24</v>
      </c>
      <c r="I38" s="17" t="s">
        <v>236</v>
      </c>
      <c r="J38" s="17" t="s">
        <v>232</v>
      </c>
      <c r="K38" s="3">
        <v>2.9189978107516418E-2</v>
      </c>
      <c r="L38" s="18">
        <f>Planilha1[[#This Row],[Preço de Venda (R$)]]*Planilha1[[#This Row],[Quantidade Vendida]]</f>
        <v>360</v>
      </c>
      <c r="M38" s="19" cm="1">
        <f t="array" ref="M38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2.720677146311971E-2</v>
      </c>
    </row>
    <row r="39" spans="1:13" x14ac:dyDescent="0.25">
      <c r="A39" s="16">
        <v>45299</v>
      </c>
      <c r="B39" s="17" t="s">
        <v>6</v>
      </c>
      <c r="C39" s="17" t="s">
        <v>253</v>
      </c>
      <c r="D39" s="17" t="s">
        <v>254</v>
      </c>
      <c r="E39" s="18">
        <v>900</v>
      </c>
      <c r="F39" s="3">
        <v>2</v>
      </c>
      <c r="G39" s="17" t="s">
        <v>246</v>
      </c>
      <c r="H39" s="3">
        <v>23</v>
      </c>
      <c r="I39" s="17" t="s">
        <v>231</v>
      </c>
      <c r="J39" s="17" t="s">
        <v>232</v>
      </c>
      <c r="K39" s="3">
        <v>7.2969028701151295E-2</v>
      </c>
      <c r="L39" s="18">
        <f>Planilha1[[#This Row],[Preço de Venda (R$)]]*Planilha1[[#This Row],[Quantidade Vendida]]</f>
        <v>1800</v>
      </c>
      <c r="M39" s="19" cm="1">
        <f t="array" ref="M39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0.13300820217246731</v>
      </c>
    </row>
    <row r="40" spans="1:13" x14ac:dyDescent="0.25">
      <c r="A40" s="16">
        <v>45300</v>
      </c>
      <c r="B40" s="17" t="s">
        <v>237</v>
      </c>
      <c r="C40" s="17" t="s">
        <v>256</v>
      </c>
      <c r="D40" s="17" t="s">
        <v>257</v>
      </c>
      <c r="E40" s="18">
        <v>780</v>
      </c>
      <c r="F40" s="3">
        <v>1</v>
      </c>
      <c r="G40" s="17" t="s">
        <v>262</v>
      </c>
      <c r="H40" s="3">
        <v>27</v>
      </c>
      <c r="I40" s="17" t="s">
        <v>236</v>
      </c>
      <c r="J40" s="17" t="s">
        <v>232</v>
      </c>
      <c r="K40" s="3">
        <v>6.3244952566285581E-2</v>
      </c>
      <c r="L40" s="18">
        <f>Planilha1[[#This Row],[Preço de Venda (R$)]]*Planilha1[[#This Row],[Quantidade Vendida]]</f>
        <v>780</v>
      </c>
      <c r="M40" s="19" cm="1">
        <f t="array" ref="M40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5.2806174260375059E-2</v>
      </c>
    </row>
    <row r="41" spans="1:13" x14ac:dyDescent="0.25">
      <c r="A41" s="16">
        <v>45301</v>
      </c>
      <c r="B41" s="17" t="s">
        <v>5</v>
      </c>
      <c r="C41" s="17" t="s">
        <v>259</v>
      </c>
      <c r="D41" s="17" t="s">
        <v>260</v>
      </c>
      <c r="E41" s="18">
        <v>700</v>
      </c>
      <c r="F41" s="3">
        <v>1</v>
      </c>
      <c r="G41" s="17" t="s">
        <v>265</v>
      </c>
      <c r="H41" s="3">
        <v>35</v>
      </c>
      <c r="I41" s="17" t="s">
        <v>231</v>
      </c>
      <c r="J41" s="17" t="s">
        <v>232</v>
      </c>
      <c r="K41" s="3">
        <v>5.6758290764615263E-2</v>
      </c>
      <c r="L41" s="18">
        <f>Planilha1[[#This Row],[Preço de Venda (R$)]]*Planilha1[[#This Row],[Quantidade Vendida]]</f>
        <v>700</v>
      </c>
      <c r="M41" s="19" cm="1">
        <f t="array" ref="M41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5.2902055622732772E-2</v>
      </c>
    </row>
    <row r="42" spans="1:13" x14ac:dyDescent="0.25">
      <c r="A42" s="16">
        <v>45302</v>
      </c>
      <c r="B42" s="17" t="s">
        <v>6</v>
      </c>
      <c r="C42" s="17" t="s">
        <v>228</v>
      </c>
      <c r="D42" s="17" t="s">
        <v>229</v>
      </c>
      <c r="E42" s="18">
        <v>750</v>
      </c>
      <c r="F42" s="3">
        <v>1</v>
      </c>
      <c r="G42" s="17" t="s">
        <v>274</v>
      </c>
      <c r="H42" s="3">
        <v>22</v>
      </c>
      <c r="I42" s="17" t="s">
        <v>236</v>
      </c>
      <c r="J42" s="17" t="s">
        <v>232</v>
      </c>
      <c r="K42" s="3">
        <v>6.0807523917626075E-2</v>
      </c>
      <c r="L42" s="18">
        <f>Planilha1[[#This Row],[Preço de Venda (R$)]]*Planilha1[[#This Row],[Quantidade Vendida]]</f>
        <v>750</v>
      </c>
      <c r="M42" s="19" cm="1">
        <f t="array" ref="M42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5.5420084238528046E-2</v>
      </c>
    </row>
    <row r="43" spans="1:13" x14ac:dyDescent="0.25">
      <c r="A43" s="16">
        <v>45303</v>
      </c>
      <c r="B43" s="17" t="s">
        <v>237</v>
      </c>
      <c r="C43" s="17" t="s">
        <v>233</v>
      </c>
      <c r="D43" s="17" t="s">
        <v>234</v>
      </c>
      <c r="E43" s="18">
        <v>300</v>
      </c>
      <c r="F43" s="3">
        <v>1</v>
      </c>
      <c r="G43" s="17" t="s">
        <v>270</v>
      </c>
      <c r="H43" s="3">
        <v>35</v>
      </c>
      <c r="I43" s="17" t="s">
        <v>231</v>
      </c>
      <c r="J43" s="17" t="s">
        <v>232</v>
      </c>
      <c r="K43" s="3">
        <v>2.4324981756263683E-2</v>
      </c>
      <c r="L43" s="18">
        <f>Planilha1[[#This Row],[Preço de Venda (R$)]]*Planilha1[[#This Row],[Quantidade Vendida]]</f>
        <v>300</v>
      </c>
      <c r="M43" s="19" cm="1">
        <f t="array" ref="M43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2.0310067023221176E-2</v>
      </c>
    </row>
    <row r="44" spans="1:13" x14ac:dyDescent="0.25">
      <c r="A44" s="16">
        <v>45304</v>
      </c>
      <c r="B44" s="17" t="s">
        <v>5</v>
      </c>
      <c r="C44" s="17" t="s">
        <v>238</v>
      </c>
      <c r="D44" s="17" t="s">
        <v>239</v>
      </c>
      <c r="E44" s="18">
        <v>600</v>
      </c>
      <c r="F44" s="3">
        <v>1</v>
      </c>
      <c r="G44" s="17" t="s">
        <v>246</v>
      </c>
      <c r="H44" s="3">
        <v>29</v>
      </c>
      <c r="I44" s="17" t="s">
        <v>236</v>
      </c>
      <c r="J44" s="17" t="s">
        <v>232</v>
      </c>
      <c r="K44" s="3">
        <v>4.8649963512527365E-2</v>
      </c>
      <c r="L44" s="18">
        <f>Planilha1[[#This Row],[Preço de Venda (R$)]]*Planilha1[[#This Row],[Quantidade Vendida]]</f>
        <v>600</v>
      </c>
      <c r="M44" s="19" cm="1">
        <f t="array" ref="M44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4.5344619105199518E-2</v>
      </c>
    </row>
    <row r="45" spans="1:13" x14ac:dyDescent="0.25">
      <c r="A45" s="16">
        <v>45305</v>
      </c>
      <c r="B45" s="17" t="s">
        <v>6</v>
      </c>
      <c r="C45" s="17" t="s">
        <v>241</v>
      </c>
      <c r="D45" s="17" t="s">
        <v>242</v>
      </c>
      <c r="E45" s="18">
        <v>550</v>
      </c>
      <c r="F45" s="3">
        <v>1</v>
      </c>
      <c r="G45" s="17" t="s">
        <v>230</v>
      </c>
      <c r="H45" s="3">
        <v>24</v>
      </c>
      <c r="I45" s="17" t="s">
        <v>231</v>
      </c>
      <c r="J45" s="17" t="s">
        <v>232</v>
      </c>
      <c r="K45" s="3">
        <v>4.4592184206259121E-2</v>
      </c>
      <c r="L45" s="18">
        <f>Planilha1[[#This Row],[Preço de Venda (R$)]]*Planilha1[[#This Row],[Quantidade Vendida]]</f>
        <v>550</v>
      </c>
      <c r="M45" s="19" cm="1">
        <f t="array" ref="M45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4.0641395108253896E-2</v>
      </c>
    </row>
    <row r="46" spans="1:13" x14ac:dyDescent="0.25">
      <c r="A46" s="16">
        <v>45306</v>
      </c>
      <c r="B46" s="17" t="s">
        <v>237</v>
      </c>
      <c r="C46" s="17" t="s">
        <v>244</v>
      </c>
      <c r="D46" s="17" t="s">
        <v>245</v>
      </c>
      <c r="E46" s="18">
        <v>650</v>
      </c>
      <c r="F46" s="3">
        <v>1</v>
      </c>
      <c r="G46" s="17" t="s">
        <v>235</v>
      </c>
      <c r="H46" s="3">
        <v>42</v>
      </c>
      <c r="I46" s="17" t="s">
        <v>236</v>
      </c>
      <c r="J46" s="17" t="s">
        <v>232</v>
      </c>
      <c r="K46" s="3">
        <v>5.2704127138571311E-2</v>
      </c>
      <c r="L46" s="18">
        <f>Planilha1[[#This Row],[Preço de Venda (R$)]]*Planilha1[[#This Row],[Quantidade Vendida]]</f>
        <v>650</v>
      </c>
      <c r="M46" s="19" cm="1">
        <f t="array" ref="M46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4.4005145216979215E-2</v>
      </c>
    </row>
    <row r="47" spans="1:13" x14ac:dyDescent="0.25">
      <c r="A47" s="16">
        <v>45307</v>
      </c>
      <c r="B47" s="17" t="s">
        <v>5</v>
      </c>
      <c r="C47" s="17" t="s">
        <v>247</v>
      </c>
      <c r="D47" s="17" t="s">
        <v>248</v>
      </c>
      <c r="E47" s="18">
        <v>580</v>
      </c>
      <c r="F47" s="3">
        <v>1</v>
      </c>
      <c r="G47" s="17" t="s">
        <v>243</v>
      </c>
      <c r="H47" s="3">
        <v>27</v>
      </c>
      <c r="I47" s="17" t="s">
        <v>231</v>
      </c>
      <c r="J47" s="17" t="s">
        <v>232</v>
      </c>
      <c r="K47" s="3">
        <v>4.7028298062109786E-2</v>
      </c>
      <c r="L47" s="18">
        <f>Planilha1[[#This Row],[Preço de Venda (R$)]]*Planilha1[[#This Row],[Quantidade Vendida]]</f>
        <v>580</v>
      </c>
      <c r="M47" s="19" cm="1">
        <f t="array" ref="M47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4.3833131801692869E-2</v>
      </c>
    </row>
    <row r="48" spans="1:13" x14ac:dyDescent="0.25">
      <c r="A48" s="16">
        <v>45308</v>
      </c>
      <c r="B48" s="17" t="s">
        <v>6</v>
      </c>
      <c r="C48" s="17" t="s">
        <v>250</v>
      </c>
      <c r="D48" s="17" t="s">
        <v>251</v>
      </c>
      <c r="E48" s="18">
        <v>360</v>
      </c>
      <c r="F48" s="3">
        <v>1</v>
      </c>
      <c r="G48" s="17" t="s">
        <v>249</v>
      </c>
      <c r="H48" s="3">
        <v>30</v>
      </c>
      <c r="I48" s="17" t="s">
        <v>236</v>
      </c>
      <c r="J48" s="17" t="s">
        <v>232</v>
      </c>
      <c r="K48" s="3">
        <v>2.9187611480460517E-2</v>
      </c>
      <c r="L48" s="18">
        <f>Planilha1[[#This Row],[Preço de Venda (R$)]]*Planilha1[[#This Row],[Quantidade Vendida]]</f>
        <v>360</v>
      </c>
      <c r="M48" s="19" cm="1">
        <f t="array" ref="M48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2.6601640434493461E-2</v>
      </c>
    </row>
    <row r="49" spans="1:13" x14ac:dyDescent="0.25">
      <c r="A49" s="16">
        <v>45309</v>
      </c>
      <c r="B49" s="17" t="s">
        <v>237</v>
      </c>
      <c r="C49" s="17" t="s">
        <v>253</v>
      </c>
      <c r="D49" s="17" t="s">
        <v>254</v>
      </c>
      <c r="E49" s="18">
        <v>900</v>
      </c>
      <c r="F49" s="3">
        <v>1</v>
      </c>
      <c r="G49" s="17" t="s">
        <v>252</v>
      </c>
      <c r="H49" s="3">
        <v>23</v>
      </c>
      <c r="I49" s="17" t="s">
        <v>231</v>
      </c>
      <c r="J49" s="17" t="s">
        <v>232</v>
      </c>
      <c r="K49" s="3">
        <v>7.2974945268791044E-2</v>
      </c>
      <c r="L49" s="18">
        <f>Planilha1[[#This Row],[Preço de Venda (R$)]]*Planilha1[[#This Row],[Quantidade Vendida]]</f>
        <v>900</v>
      </c>
      <c r="M49" s="19" cm="1">
        <f t="array" ref="M49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6.0930201069663528E-2</v>
      </c>
    </row>
    <row r="50" spans="1:13" x14ac:dyDescent="0.25">
      <c r="A50" s="16">
        <v>45310</v>
      </c>
      <c r="B50" s="17" t="s">
        <v>5</v>
      </c>
      <c r="C50" s="17" t="s">
        <v>256</v>
      </c>
      <c r="D50" s="17" t="s">
        <v>257</v>
      </c>
      <c r="E50" s="18">
        <v>780</v>
      </c>
      <c r="F50" s="3">
        <v>1</v>
      </c>
      <c r="G50" s="17" t="s">
        <v>261</v>
      </c>
      <c r="H50" s="3">
        <v>31</v>
      </c>
      <c r="I50" s="17" t="s">
        <v>236</v>
      </c>
      <c r="J50" s="17" t="s">
        <v>232</v>
      </c>
      <c r="K50" s="3">
        <v>6.3244952566285581E-2</v>
      </c>
      <c r="L50" s="18">
        <f>Planilha1[[#This Row],[Preço de Venda (R$)]]*Planilha1[[#This Row],[Quantidade Vendida]]</f>
        <v>780</v>
      </c>
      <c r="M50" s="19" cm="1">
        <f t="array" ref="M50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5.8948004836759368E-2</v>
      </c>
    </row>
    <row r="51" spans="1:13" x14ac:dyDescent="0.25">
      <c r="A51" s="16">
        <v>45311</v>
      </c>
      <c r="B51" s="17" t="s">
        <v>6</v>
      </c>
      <c r="C51" s="17" t="s">
        <v>259</v>
      </c>
      <c r="D51" s="17" t="s">
        <v>260</v>
      </c>
      <c r="E51" s="18">
        <v>700</v>
      </c>
      <c r="F51" s="3">
        <v>1</v>
      </c>
      <c r="G51" s="17" t="s">
        <v>255</v>
      </c>
      <c r="H51" s="3">
        <v>28</v>
      </c>
      <c r="I51" s="17" t="s">
        <v>231</v>
      </c>
      <c r="J51" s="17" t="s">
        <v>232</v>
      </c>
      <c r="K51" s="3">
        <v>5.6753688989784334E-2</v>
      </c>
      <c r="L51" s="18">
        <f>Planilha1[[#This Row],[Preço de Venda (R$)]]*Planilha1[[#This Row],[Quantidade Vendida]]</f>
        <v>700</v>
      </c>
      <c r="M51" s="19" cm="1">
        <f t="array" ref="M51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5.1725411955959505E-2</v>
      </c>
    </row>
    <row r="52" spans="1:13" x14ac:dyDescent="0.25">
      <c r="A52" s="16">
        <v>45312</v>
      </c>
      <c r="B52" s="17" t="s">
        <v>237</v>
      </c>
      <c r="C52" s="17" t="s">
        <v>228</v>
      </c>
      <c r="D52" s="17" t="s">
        <v>229</v>
      </c>
      <c r="E52" s="18">
        <v>750</v>
      </c>
      <c r="F52" s="3">
        <v>1</v>
      </c>
      <c r="G52" s="17" t="s">
        <v>272</v>
      </c>
      <c r="H52" s="3">
        <v>21</v>
      </c>
      <c r="I52" s="17" t="s">
        <v>236</v>
      </c>
      <c r="J52" s="17" t="s">
        <v>232</v>
      </c>
      <c r="K52" s="3">
        <v>6.0812454390659208E-2</v>
      </c>
      <c r="L52" s="18">
        <f>Planilha1[[#This Row],[Preço de Venda (R$)]]*Planilha1[[#This Row],[Quantidade Vendida]]</f>
        <v>750</v>
      </c>
      <c r="M52" s="19" cm="1">
        <f t="array" ref="M52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5.077516755805294E-2</v>
      </c>
    </row>
    <row r="53" spans="1:13" x14ac:dyDescent="0.25">
      <c r="A53" s="16">
        <v>45313</v>
      </c>
      <c r="B53" s="17" t="s">
        <v>5</v>
      </c>
      <c r="C53" s="17" t="s">
        <v>233</v>
      </c>
      <c r="D53" s="17" t="s">
        <v>234</v>
      </c>
      <c r="E53" s="18">
        <v>300</v>
      </c>
      <c r="F53" s="3">
        <v>1</v>
      </c>
      <c r="G53" s="17" t="s">
        <v>273</v>
      </c>
      <c r="H53" s="3">
        <v>33</v>
      </c>
      <c r="I53" s="17" t="s">
        <v>231</v>
      </c>
      <c r="J53" s="17" t="s">
        <v>232</v>
      </c>
      <c r="K53" s="3">
        <v>2.4324981756263683E-2</v>
      </c>
      <c r="L53" s="18">
        <f>Planilha1[[#This Row],[Preço de Venda (R$)]]*Planilha1[[#This Row],[Quantidade Vendida]]</f>
        <v>300</v>
      </c>
      <c r="M53" s="19" cm="1">
        <f t="array" ref="M53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2.2672309552599759E-2</v>
      </c>
    </row>
    <row r="54" spans="1:13" x14ac:dyDescent="0.25">
      <c r="A54" s="16">
        <v>45314</v>
      </c>
      <c r="B54" s="17" t="s">
        <v>6</v>
      </c>
      <c r="C54" s="17" t="s">
        <v>238</v>
      </c>
      <c r="D54" s="17" t="s">
        <v>239</v>
      </c>
      <c r="E54" s="18">
        <v>600</v>
      </c>
      <c r="F54" s="3">
        <v>1</v>
      </c>
      <c r="G54" s="17" t="s">
        <v>264</v>
      </c>
      <c r="H54" s="3">
        <v>26</v>
      </c>
      <c r="I54" s="17" t="s">
        <v>236</v>
      </c>
      <c r="J54" s="17" t="s">
        <v>232</v>
      </c>
      <c r="K54" s="3">
        <v>4.8646019134100861E-2</v>
      </c>
      <c r="L54" s="18">
        <f>Planilha1[[#This Row],[Preço de Venda (R$)]]*Planilha1[[#This Row],[Quantidade Vendida]]</f>
        <v>600</v>
      </c>
      <c r="M54" s="19" cm="1">
        <f t="array" ref="M54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4.4336067390822437E-2</v>
      </c>
    </row>
    <row r="55" spans="1:13" x14ac:dyDescent="0.25">
      <c r="A55" s="16">
        <v>45315</v>
      </c>
      <c r="B55" s="17" t="s">
        <v>237</v>
      </c>
      <c r="C55" s="17" t="s">
        <v>241</v>
      </c>
      <c r="D55" s="17" t="s">
        <v>242</v>
      </c>
      <c r="E55" s="18">
        <v>550</v>
      </c>
      <c r="F55" s="3">
        <v>1</v>
      </c>
      <c r="G55" s="17" t="s">
        <v>263</v>
      </c>
      <c r="H55" s="3">
        <v>19</v>
      </c>
      <c r="I55" s="17" t="s">
        <v>231</v>
      </c>
      <c r="J55" s="17" t="s">
        <v>232</v>
      </c>
      <c r="K55" s="3">
        <v>4.459579988648342E-2</v>
      </c>
      <c r="L55" s="18">
        <f>Planilha1[[#This Row],[Preço de Venda (R$)]]*Planilha1[[#This Row],[Quantidade Vendida]]</f>
        <v>550</v>
      </c>
      <c r="M55" s="19" cm="1">
        <f t="array" ref="M55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3.7235122875905489E-2</v>
      </c>
    </row>
    <row r="56" spans="1:13" x14ac:dyDescent="0.25">
      <c r="A56" s="16">
        <v>45316</v>
      </c>
      <c r="B56" s="17" t="s">
        <v>5</v>
      </c>
      <c r="C56" s="17" t="s">
        <v>244</v>
      </c>
      <c r="D56" s="17" t="s">
        <v>245</v>
      </c>
      <c r="E56" s="18">
        <v>650</v>
      </c>
      <c r="F56" s="3">
        <v>1</v>
      </c>
      <c r="G56" s="17" t="s">
        <v>258</v>
      </c>
      <c r="H56" s="3">
        <v>34</v>
      </c>
      <c r="I56" s="17" t="s">
        <v>236</v>
      </c>
      <c r="J56" s="17" t="s">
        <v>232</v>
      </c>
      <c r="K56" s="3">
        <v>5.2704127138571311E-2</v>
      </c>
      <c r="L56" s="18">
        <f>Planilha1[[#This Row],[Preço de Venda (R$)]]*Planilha1[[#This Row],[Quantidade Vendida]]</f>
        <v>650</v>
      </c>
      <c r="M56" s="19" cm="1">
        <f t="array" ref="M56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4.9123337363966145E-2</v>
      </c>
    </row>
    <row r="57" spans="1:13" x14ac:dyDescent="0.25">
      <c r="A57" s="16">
        <v>45317</v>
      </c>
      <c r="B57" s="17" t="s">
        <v>6</v>
      </c>
      <c r="C57" s="17" t="s">
        <v>247</v>
      </c>
      <c r="D57" s="17" t="s">
        <v>248</v>
      </c>
      <c r="E57" s="18">
        <v>580</v>
      </c>
      <c r="F57" s="3">
        <v>1</v>
      </c>
      <c r="G57" s="17" t="s">
        <v>265</v>
      </c>
      <c r="H57" s="3">
        <v>37</v>
      </c>
      <c r="I57" s="17" t="s">
        <v>231</v>
      </c>
      <c r="J57" s="17" t="s">
        <v>232</v>
      </c>
      <c r="K57" s="3">
        <v>4.7024485162964161E-2</v>
      </c>
      <c r="L57" s="18">
        <f>Planilha1[[#This Row],[Preço de Venda (R$)]]*Planilha1[[#This Row],[Quantidade Vendida]]</f>
        <v>580</v>
      </c>
      <c r="M57" s="19" cm="1">
        <f t="array" ref="M57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4.2858198477795019E-2</v>
      </c>
    </row>
    <row r="58" spans="1:13" x14ac:dyDescent="0.25">
      <c r="A58" s="16">
        <v>45318</v>
      </c>
      <c r="B58" s="17" t="s">
        <v>237</v>
      </c>
      <c r="C58" s="17" t="s">
        <v>250</v>
      </c>
      <c r="D58" s="17" t="s">
        <v>251</v>
      </c>
      <c r="E58" s="18">
        <v>360</v>
      </c>
      <c r="F58" s="3">
        <v>1</v>
      </c>
      <c r="G58" s="17" t="s">
        <v>267</v>
      </c>
      <c r="H58" s="3">
        <v>29</v>
      </c>
      <c r="I58" s="17" t="s">
        <v>236</v>
      </c>
      <c r="J58" s="17" t="s">
        <v>232</v>
      </c>
      <c r="K58" s="3">
        <v>2.9189978107516418E-2</v>
      </c>
      <c r="L58" s="18">
        <f>Planilha1[[#This Row],[Preço de Venda (R$)]]*Planilha1[[#This Row],[Quantidade Vendida]]</f>
        <v>360</v>
      </c>
      <c r="M58" s="19" cm="1">
        <f t="array" ref="M58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2.4372080427865411E-2</v>
      </c>
    </row>
    <row r="59" spans="1:13" x14ac:dyDescent="0.25">
      <c r="A59" s="16">
        <v>45319</v>
      </c>
      <c r="B59" s="17" t="s">
        <v>5</v>
      </c>
      <c r="C59" s="17" t="s">
        <v>253</v>
      </c>
      <c r="D59" s="17" t="s">
        <v>254</v>
      </c>
      <c r="E59" s="18">
        <v>900</v>
      </c>
      <c r="F59" s="3">
        <v>1</v>
      </c>
      <c r="G59" s="17" t="s">
        <v>240</v>
      </c>
      <c r="H59" s="3">
        <v>25</v>
      </c>
      <c r="I59" s="17" t="s">
        <v>231</v>
      </c>
      <c r="J59" s="17" t="s">
        <v>232</v>
      </c>
      <c r="K59" s="3">
        <v>7.2974945268791044E-2</v>
      </c>
      <c r="L59" s="18">
        <f>Planilha1[[#This Row],[Preço de Venda (R$)]]*Planilha1[[#This Row],[Quantidade Vendida]]</f>
        <v>900</v>
      </c>
      <c r="M59" s="19" cm="1">
        <f t="array" ref="M59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6.8016928657799278E-2</v>
      </c>
    </row>
    <row r="60" spans="1:13" x14ac:dyDescent="0.25">
      <c r="A60" s="16">
        <v>45320</v>
      </c>
      <c r="B60" s="17" t="s">
        <v>6</v>
      </c>
      <c r="C60" s="17" t="s">
        <v>256</v>
      </c>
      <c r="D60" s="17" t="s">
        <v>257</v>
      </c>
      <c r="E60" s="18">
        <v>780</v>
      </c>
      <c r="F60" s="3">
        <v>1</v>
      </c>
      <c r="G60" s="17" t="s">
        <v>262</v>
      </c>
      <c r="H60" s="3">
        <v>32</v>
      </c>
      <c r="I60" s="17" t="s">
        <v>236</v>
      </c>
      <c r="J60" s="17" t="s">
        <v>232</v>
      </c>
      <c r="K60" s="3">
        <v>6.3239824874331121E-2</v>
      </c>
      <c r="L60" s="18">
        <f>Planilha1[[#This Row],[Preço de Venda (R$)]]*Planilha1[[#This Row],[Quantidade Vendida]]</f>
        <v>780</v>
      </c>
      <c r="M60" s="19" cm="1">
        <f t="array" ref="M60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5.7636887608069162E-2</v>
      </c>
    </row>
    <row r="61" spans="1:13" x14ac:dyDescent="0.25">
      <c r="A61" s="16">
        <v>45321</v>
      </c>
      <c r="B61" s="17" t="s">
        <v>237</v>
      </c>
      <c r="C61" s="17" t="s">
        <v>259</v>
      </c>
      <c r="D61" s="17" t="s">
        <v>260</v>
      </c>
      <c r="E61" s="18">
        <v>700</v>
      </c>
      <c r="F61" s="3">
        <v>1</v>
      </c>
      <c r="G61" s="17" t="s">
        <v>275</v>
      </c>
      <c r="H61" s="3">
        <v>24</v>
      </c>
      <c r="I61" s="17" t="s">
        <v>231</v>
      </c>
      <c r="J61" s="17" t="s">
        <v>232</v>
      </c>
      <c r="K61" s="3">
        <v>5.6758290764615263E-2</v>
      </c>
      <c r="L61" s="18">
        <f>Planilha1[[#This Row],[Preço de Venda (R$)]]*Planilha1[[#This Row],[Quantidade Vendida]]</f>
        <v>700</v>
      </c>
      <c r="M61" s="19" cm="1">
        <f t="array" ref="M61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>4.7390156387516078E-2</v>
      </c>
    </row>
    <row r="62" spans="1:13" x14ac:dyDescent="0.25">
      <c r="A62" s="16"/>
      <c r="B62" s="17"/>
      <c r="C62" s="17"/>
      <c r="D62" s="17"/>
      <c r="E62" s="18"/>
      <c r="G62" s="17"/>
      <c r="I62" s="17"/>
      <c r="J62" s="17"/>
      <c r="L62" s="18">
        <f>Planilha1[[#This Row],[Preço de Venda (R$)]]*Planilha1[[#This Row],[Quantidade Vendida]]</f>
        <v>0</v>
      </c>
      <c r="M62" s="19" t="str" cm="1">
        <f t="array" ref="M62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/>
      </c>
    </row>
    <row r="63" spans="1:13" x14ac:dyDescent="0.25">
      <c r="A63" s="16"/>
      <c r="B63" s="17"/>
      <c r="C63" s="17"/>
      <c r="D63" s="17"/>
      <c r="E63" s="18"/>
      <c r="G63" s="17"/>
      <c r="I63" s="17"/>
      <c r="J63" s="17"/>
      <c r="L63" s="18">
        <f>Planilha1[[#This Row],[Preço de Venda (R$)]]*Planilha1[[#This Row],[Quantidade Vendida]]</f>
        <v>0</v>
      </c>
      <c r="M63" s="19" t="str" cm="1">
        <f t="array" ref="M63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/>
      </c>
    </row>
    <row r="64" spans="1:13" x14ac:dyDescent="0.25">
      <c r="A64" s="16"/>
      <c r="B64" s="17"/>
      <c r="C64" s="17"/>
      <c r="D64" s="17"/>
      <c r="E64" s="18"/>
      <c r="G64" s="17"/>
      <c r="I64" s="17"/>
      <c r="J64" s="17"/>
      <c r="L64" s="18">
        <f>Planilha1[[#This Row],[Preço de Venda (R$)]]*Planilha1[[#This Row],[Quantidade Vendida]]</f>
        <v>0</v>
      </c>
      <c r="M64" s="19" t="str" cm="1">
        <f t="array" ref="M64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/>
      </c>
    </row>
    <row r="65" spans="1:13" x14ac:dyDescent="0.25">
      <c r="A65" s="16"/>
      <c r="B65" s="17"/>
      <c r="C65" s="17"/>
      <c r="D65" s="17"/>
      <c r="E65" s="18"/>
      <c r="G65" s="17"/>
      <c r="I65" s="17"/>
      <c r="J65" s="17"/>
      <c r="L65" s="18">
        <f>Planilha1[[#This Row],[Preço de Venda (R$)]]*Planilha1[[#This Row],[Quantidade Vendida]]</f>
        <v>0</v>
      </c>
      <c r="M65" s="19" t="str" cm="1">
        <f t="array" ref="M65">IF(OR(Planilha1[[#This Row],[Loja de Venda]]="",Planilha1[[#This Row],[Preço Total de Venda]]="",Planilha1[[#This Row],[Preço Total de Venda]]=0),"",Planilha1[[#This Row],[Preço Total de Venda]]/SUM(_xlfn._xlws.FILTER(Planilha1[Preço Total de Venda],Planilha1[Loja de Venda]=Planilha1[[#This Row],[Loja de Venda]])))</f>
        <v/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EAD0-4CDD-4DB3-AFE4-3C602C723ED7}">
  <sheetPr>
    <tabColor rgb="FFFFC000"/>
  </sheetPr>
  <dimension ref="A2:B6"/>
  <sheetViews>
    <sheetView showGridLines="0" tabSelected="1" workbookViewId="0">
      <selection activeCell="N11" sqref="N11"/>
    </sheetView>
  </sheetViews>
  <sheetFormatPr defaultRowHeight="15" x14ac:dyDescent="0.25"/>
  <cols>
    <col min="1" max="1" width="25.5703125" bestFit="1" customWidth="1"/>
    <col min="2" max="2" width="13.85546875" bestFit="1" customWidth="1"/>
  </cols>
  <sheetData>
    <row r="2" spans="1:2" x14ac:dyDescent="0.25">
      <c r="A2" s="20" t="s">
        <v>281</v>
      </c>
      <c r="B2" t="s">
        <v>285</v>
      </c>
    </row>
    <row r="3" spans="1:2" x14ac:dyDescent="0.25">
      <c r="A3" t="s">
        <v>284</v>
      </c>
      <c r="B3" s="22">
        <v>28.383333333333301</v>
      </c>
    </row>
    <row r="4" spans="1:2" x14ac:dyDescent="0.25">
      <c r="A4" t="s">
        <v>282</v>
      </c>
      <c r="B4" s="21">
        <v>41536</v>
      </c>
    </row>
    <row r="5" spans="1:2" x14ac:dyDescent="0.25">
      <c r="A5" t="s">
        <v>283</v>
      </c>
      <c r="B5" s="22">
        <v>649</v>
      </c>
    </row>
    <row r="6" spans="1:2" x14ac:dyDescent="0.25">
      <c r="A6" t="s">
        <v>286</v>
      </c>
      <c r="B6" s="14">
        <v>42213.383333333331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28BC7-70A3-4B45-9711-A0FF57DC12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Introdução</vt:lpstr>
      <vt:lpstr>Praticando</vt:lpstr>
      <vt:lpstr>ETL Com Power Query</vt:lpstr>
      <vt:lpstr>Analisando Ddos com Copilot</vt:lpstr>
      <vt:lpstr>Análise Visual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Eleilton Santos</cp:lastModifiedBy>
  <cp:revision/>
  <dcterms:created xsi:type="dcterms:W3CDTF">2025-12-10T23:20:29Z</dcterms:created>
  <dcterms:modified xsi:type="dcterms:W3CDTF">2025-12-15T20:00:23Z</dcterms:modified>
  <cp:category/>
  <cp:contentStatus/>
</cp:coreProperties>
</file>