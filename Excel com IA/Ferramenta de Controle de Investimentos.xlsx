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2c93962861e008/Documentos/"/>
    </mc:Choice>
  </mc:AlternateContent>
  <xr:revisionPtr revIDLastSave="207" documentId="8_{0FB408AA-1D43-4F8C-9146-93FE9D1FB5AB}" xr6:coauthVersionLast="47" xr6:coauthVersionMax="47" xr10:uidLastSave="{C9C5A644-C8F8-4230-AE43-6ACFD7BB1CB5}"/>
  <bookViews>
    <workbookView xWindow="-120" yWindow="-120" windowWidth="24240" windowHeight="13020" tabRatio="329" xr2:uid="{7CBCF2AE-2987-403F-9B38-B6B18F9B1035}"/>
  </bookViews>
  <sheets>
    <sheet name="Controle de Investimento" sheetId="1" r:id="rId1"/>
    <sheet name="Tabela de apoio" sheetId="2" r:id="rId2"/>
  </sheets>
  <definedNames>
    <definedName name="Aporte">'Controle de Investimento'!$D$15</definedName>
    <definedName name="Patrimonio">'Controle de Investimento'!$D$18</definedName>
    <definedName name="Qtd_anos">'Controle de Investimento'!$D$16</definedName>
    <definedName name="Rendimento_carteira">'Controle de Investimento'!$D$11</definedName>
    <definedName name="Salario">'Controle de Investimento'!$D$10</definedName>
    <definedName name="sugestao_inestimento">'Controle de Investimento'!$D$12</definedName>
    <definedName name="Taxa_mensal">'Controle de Investimento'!$D$17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C33" i="1"/>
  <c r="C34" i="1"/>
  <c r="C35" i="1"/>
  <c r="C36" i="1"/>
  <c r="C37" i="1"/>
  <c r="C32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D15" i="1"/>
  <c r="C29" i="1" s="1"/>
  <c r="C22" i="1" l="1"/>
  <c r="D22" i="1" s="1"/>
  <c r="C25" i="1"/>
  <c r="D25" i="1" s="1"/>
  <c r="C24" i="1"/>
  <c r="D24" i="1" s="1"/>
  <c r="D18" i="1"/>
  <c r="D19" i="1" s="1"/>
  <c r="C26" i="1"/>
  <c r="D26" i="1" s="1"/>
  <c r="C23" i="1"/>
  <c r="D23" i="1" s="1"/>
  <c r="D37" i="1"/>
  <c r="D36" i="1"/>
  <c r="D35" i="1"/>
  <c r="D32" i="1"/>
  <c r="D34" i="1"/>
  <c r="D33" i="1"/>
  <c r="C38" i="1"/>
  <c r="D38" i="1" l="1"/>
</calcChain>
</file>

<file path=xl/sharedStrings.xml><?xml version="1.0" encoding="utf-8"?>
<sst xmlns="http://schemas.openxmlformats.org/spreadsheetml/2006/main" count="72" uniqueCount="34">
  <si>
    <t>Quanto investir por mês ?</t>
  </si>
  <si>
    <t>Por quantos anos investir ?</t>
  </si>
  <si>
    <t>Taxa de rendimento mensal ?</t>
  </si>
  <si>
    <t>Patrimônio acumulado ?</t>
  </si>
  <si>
    <t>Dividendos mensais ?</t>
  </si>
  <si>
    <t>INVESTIMENTO MENSAL</t>
  </si>
  <si>
    <t>Quanto eu teria em 2 Anos ?</t>
  </si>
  <si>
    <t>Quanto eu teria em 5 Anos ?</t>
  </si>
  <si>
    <t>Quanto eu teria em 10 Anos ?</t>
  </si>
  <si>
    <t>Quanto eu teria em 20 Anos ?</t>
  </si>
  <si>
    <t>Quanto eu teria em 30 Anos ?</t>
  </si>
  <si>
    <t>Cenários</t>
  </si>
  <si>
    <t>Dividendo</t>
  </si>
  <si>
    <t>Rendimento Carteira</t>
  </si>
  <si>
    <t>Salário</t>
  </si>
  <si>
    <t>CONFIGURAÇÕES</t>
  </si>
  <si>
    <t>Moderado</t>
  </si>
  <si>
    <t>Conservador</t>
  </si>
  <si>
    <t>VALOR A SER INVESTIDO POR MÊS</t>
  </si>
  <si>
    <t>PERFIL</t>
  </si>
  <si>
    <t>Agressivo</t>
  </si>
  <si>
    <t>TIPO DE FII</t>
  </si>
  <si>
    <t>Pertcentual Sugerido</t>
  </si>
  <si>
    <t>Valores</t>
  </si>
  <si>
    <t>PAPEL</t>
  </si>
  <si>
    <t>TIJOLO</t>
  </si>
  <si>
    <t>HIBRIDOS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</si>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</sst>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7" formatCode="&quot;R$&quot;\ #,##0.0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 style="medium">
        <color indexed="64"/>
      </right>
      <top/>
      <bottom style="hair">
        <color theme="0" tint="-0.24994659260841701"/>
      </bottom>
      <diagonal/>
    </border>
    <border>
      <left style="medium">
        <color indexed="64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medium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indexed="64"/>
      </left>
      <right style="hair">
        <color theme="0" tint="-0.24994659260841701"/>
      </right>
      <top style="hair">
        <color theme="0" tint="-0.24994659260841701"/>
      </top>
      <bottom style="medium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medium">
        <color indexed="64"/>
      </bottom>
      <diagonal/>
    </border>
    <border>
      <left style="hair">
        <color theme="0" tint="-0.24994659260841701"/>
      </left>
      <right style="medium">
        <color indexed="64"/>
      </right>
      <top style="hair">
        <color theme="0" tint="-0.24994659260841701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9">
    <xf numFmtId="0" fontId="0" fillId="0" borderId="0" xfId="0"/>
    <xf numFmtId="0" fontId="7" fillId="4" borderId="1" xfId="0" applyFont="1" applyFill="1" applyBorder="1" applyAlignment="1">
      <alignment horizontal="left" vertical="center"/>
    </xf>
    <xf numFmtId="0" fontId="5" fillId="0" borderId="0" xfId="0" applyFont="1"/>
    <xf numFmtId="0" fontId="0" fillId="0" borderId="0" xfId="0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left" vertical="center"/>
    </xf>
    <xf numFmtId="9" fontId="0" fillId="0" borderId="0" xfId="0" applyNumberFormat="1" applyAlignment="1">
      <alignment horizontal="center"/>
    </xf>
    <xf numFmtId="8" fontId="0" fillId="3" borderId="14" xfId="0" applyNumberFormat="1" applyFill="1" applyBorder="1" applyAlignment="1">
      <alignment horizontal="center"/>
    </xf>
    <xf numFmtId="8" fontId="0" fillId="3" borderId="17" xfId="0" applyNumberFormat="1" applyFill="1" applyBorder="1" applyAlignment="1">
      <alignment horizontal="center"/>
    </xf>
    <xf numFmtId="8" fontId="0" fillId="3" borderId="15" xfId="0" applyNumberFormat="1" applyFill="1" applyBorder="1" applyAlignment="1">
      <alignment horizontal="center"/>
    </xf>
    <xf numFmtId="8" fontId="0" fillId="3" borderId="20" xfId="0" applyNumberFormat="1" applyFill="1" applyBorder="1" applyAlignment="1">
      <alignment horizontal="center"/>
    </xf>
    <xf numFmtId="8" fontId="0" fillId="3" borderId="21" xfId="0" applyNumberForma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167" fontId="4" fillId="0" borderId="7" xfId="1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  <xf numFmtId="10" fontId="4" fillId="0" borderId="10" xfId="0" applyNumberFormat="1" applyFont="1" applyBorder="1" applyAlignment="1">
      <alignment horizontal="center"/>
    </xf>
    <xf numFmtId="8" fontId="4" fillId="3" borderId="10" xfId="0" applyNumberFormat="1" applyFont="1" applyFill="1" applyBorder="1" applyAlignment="1">
      <alignment horizontal="center"/>
    </xf>
    <xf numFmtId="8" fontId="4" fillId="3" borderId="13" xfId="0" applyNumberFormat="1" applyFont="1" applyFill="1" applyBorder="1" applyAlignment="1">
      <alignment horizontal="center"/>
    </xf>
    <xf numFmtId="0" fontId="9" fillId="3" borderId="8" xfId="0" applyFont="1" applyFill="1" applyBorder="1" applyAlignment="1">
      <alignment horizontal="left" indent="3"/>
    </xf>
    <xf numFmtId="0" fontId="9" fillId="3" borderId="9" xfId="0" applyFont="1" applyFill="1" applyBorder="1" applyAlignment="1">
      <alignment horizontal="left" indent="3"/>
    </xf>
    <xf numFmtId="0" fontId="9" fillId="3" borderId="11" xfId="0" applyFont="1" applyFill="1" applyBorder="1" applyAlignment="1">
      <alignment horizontal="left" indent="3"/>
    </xf>
    <xf numFmtId="0" fontId="9" fillId="3" borderId="12" xfId="0" applyFont="1" applyFill="1" applyBorder="1" applyAlignment="1">
      <alignment horizontal="left" indent="3"/>
    </xf>
    <xf numFmtId="0" fontId="6" fillId="3" borderId="16" xfId="0" applyFont="1" applyFill="1" applyBorder="1" applyAlignment="1">
      <alignment horizontal="left" indent="3"/>
    </xf>
    <xf numFmtId="0" fontId="6" fillId="3" borderId="18" xfId="0" applyFont="1" applyFill="1" applyBorder="1" applyAlignment="1">
      <alignment horizontal="left" indent="3"/>
    </xf>
    <xf numFmtId="0" fontId="6" fillId="3" borderId="19" xfId="0" applyFont="1" applyFill="1" applyBorder="1" applyAlignment="1">
      <alignment horizontal="left" indent="3"/>
    </xf>
    <xf numFmtId="0" fontId="6" fillId="3" borderId="22" xfId="0" applyFont="1" applyFill="1" applyBorder="1" applyAlignment="1">
      <alignment horizontal="left" indent="3"/>
    </xf>
    <xf numFmtId="0" fontId="6" fillId="3" borderId="23" xfId="0" applyFont="1" applyFill="1" applyBorder="1" applyAlignment="1">
      <alignment horizontal="left" indent="3"/>
    </xf>
    <xf numFmtId="167" fontId="0" fillId="0" borderId="24" xfId="1" applyNumberFormat="1" applyFont="1" applyBorder="1" applyAlignment="1">
      <alignment horizontal="center"/>
    </xf>
    <xf numFmtId="0" fontId="6" fillId="3" borderId="25" xfId="0" applyFont="1" applyFill="1" applyBorder="1" applyAlignment="1">
      <alignment horizontal="left" indent="3"/>
    </xf>
    <xf numFmtId="0" fontId="6" fillId="3" borderId="26" xfId="0" applyFont="1" applyFill="1" applyBorder="1" applyAlignment="1">
      <alignment horizontal="left" indent="3"/>
    </xf>
    <xf numFmtId="10" fontId="0" fillId="0" borderId="27" xfId="0" applyNumberFormat="1" applyBorder="1" applyAlignment="1">
      <alignment horizontal="center"/>
    </xf>
    <xf numFmtId="0" fontId="6" fillId="3" borderId="28" xfId="0" applyFont="1" applyFill="1" applyBorder="1" applyAlignment="1">
      <alignment horizontal="left" indent="3"/>
    </xf>
    <xf numFmtId="0" fontId="6" fillId="3" borderId="29" xfId="0" applyFont="1" applyFill="1" applyBorder="1" applyAlignment="1">
      <alignment horizontal="left" indent="3"/>
    </xf>
    <xf numFmtId="167" fontId="0" fillId="3" borderId="30" xfId="1" applyNumberFormat="1" applyFont="1" applyFill="1" applyBorder="1" applyAlignment="1">
      <alignment horizontal="center"/>
    </xf>
    <xf numFmtId="0" fontId="6" fillId="6" borderId="5" xfId="0" applyFont="1" applyFill="1" applyBorder="1" applyAlignment="1">
      <alignment horizontal="left" indent="3"/>
    </xf>
    <xf numFmtId="0" fontId="6" fillId="6" borderId="6" xfId="0" applyFont="1" applyFill="1" applyBorder="1" applyAlignment="1">
      <alignment horizontal="left" indent="3"/>
    </xf>
    <xf numFmtId="0" fontId="6" fillId="6" borderId="8" xfId="0" applyFont="1" applyFill="1" applyBorder="1" applyAlignment="1">
      <alignment horizontal="left" indent="3"/>
    </xf>
    <xf numFmtId="0" fontId="6" fillId="6" borderId="9" xfId="0" applyFont="1" applyFill="1" applyBorder="1" applyAlignment="1">
      <alignment horizontal="left" indent="3"/>
    </xf>
    <xf numFmtId="0" fontId="2" fillId="2" borderId="0" xfId="2"/>
    <xf numFmtId="0" fontId="2" fillId="2" borderId="0" xfId="2" applyAlignment="1">
      <alignment horizontal="center"/>
    </xf>
    <xf numFmtId="0" fontId="4" fillId="0" borderId="0" xfId="0" applyFont="1" applyAlignment="1">
      <alignment horizontal="center"/>
    </xf>
    <xf numFmtId="0" fontId="4" fillId="7" borderId="0" xfId="0" applyFont="1" applyFill="1" applyAlignment="1">
      <alignment horizontal="center"/>
    </xf>
    <xf numFmtId="0" fontId="4" fillId="7" borderId="0" xfId="0" applyFont="1" applyFill="1"/>
    <xf numFmtId="167" fontId="0" fillId="6" borderId="0" xfId="0" applyNumberFormat="1" applyFill="1" applyAlignment="1">
      <alignment horizontal="center"/>
    </xf>
    <xf numFmtId="167" fontId="4" fillId="7" borderId="0" xfId="0" applyNumberFormat="1" applyFon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9" fontId="0" fillId="0" borderId="4" xfId="0" applyNumberFormat="1" applyFill="1" applyBorder="1" applyAlignment="1">
      <alignment horizontal="center"/>
    </xf>
    <xf numFmtId="10" fontId="2" fillId="2" borderId="0" xfId="2" applyNumberFormat="1"/>
    <xf numFmtId="9" fontId="4" fillId="7" borderId="0" xfId="0" applyNumberFormat="1" applyFont="1" applyFill="1" applyAlignment="1">
      <alignment horizontal="center"/>
    </xf>
    <xf numFmtId="0" fontId="4" fillId="6" borderId="0" xfId="0" applyFont="1" applyFill="1"/>
    <xf numFmtId="167" fontId="4" fillId="6" borderId="0" xfId="0" applyNumberFormat="1" applyFont="1" applyFill="1" applyAlignment="1">
      <alignment horizontal="center"/>
    </xf>
  </cellXfs>
  <cellStyles count="3">
    <cellStyle name="Moeda" xfId="1" builtinId="4"/>
    <cellStyle name="Neutro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Perfil de Investimento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'Controle de Investimento'!$B$32:$B$37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'Controle de Investimento'!$C$32:$C$37</c:f>
              <c:numCache>
                <c:formatCode>0%</c:formatCode>
                <c:ptCount val="6"/>
                <c:pt idx="0">
                  <c:v>0.32</c:v>
                </c:pt>
                <c:pt idx="1">
                  <c:v>0.4</c:v>
                </c:pt>
                <c:pt idx="2">
                  <c:v>0.08</c:v>
                </c:pt>
                <c:pt idx="3">
                  <c:v>0.1</c:v>
                </c:pt>
                <c:pt idx="4">
                  <c:v>0.1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0-416E-B35B-EFEA32AA3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257174</xdr:colOff>
      <xdr:row>0</xdr:row>
      <xdr:rowOff>133349</xdr:rowOff>
    </xdr:from>
    <xdr:to>
      <xdr:col>4</xdr:col>
      <xdr:colOff>47625</xdr:colOff>
      <xdr:row>6</xdr:row>
      <xdr:rowOff>114300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A0992A2-C85A-A067-2345-607313A2D2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3413" t="23993" r="13655" b="25496"/>
        <a:stretch>
          <a:fillRect/>
        </a:stretch>
      </xdr:blipFill>
      <xdr:spPr>
        <a:xfrm>
          <a:off x="257174" y="133349"/>
          <a:ext cx="5981701" cy="1123951"/>
        </a:xfrm>
        <a:prstGeom prst="rect">
          <a:avLst/>
        </a:prstGeom>
      </xdr:spPr>
    </xdr:pic>
    <xdr:clientData/>
  </xdr:twoCellAnchor>
  <xdr:twoCellAnchor>
    <xdr:from>
      <xdr:col>1</xdr:col>
      <xdr:colOff>476250</xdr:colOff>
      <xdr:row>38</xdr:row>
      <xdr:rowOff>90487</xdr:rowOff>
    </xdr:from>
    <xdr:to>
      <xdr:col>3</xdr:col>
      <xdr:colOff>180975</xdr:colOff>
      <xdr:row>52</xdr:row>
      <xdr:rowOff>166687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24CD9A4-D837-5B93-B03A-FF2494A9B6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4709D-2E3D-4B62-864E-01D13C9DD442}">
  <sheetPr>
    <tabColor rgb="FFFFFF00"/>
  </sheetPr>
  <dimension ref="A8:H56"/>
  <sheetViews>
    <sheetView showGridLines="0" showRowColHeaders="0" tabSelected="1" workbookViewId="0">
      <selection activeCell="E16" sqref="E1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x14ac:dyDescent="0.25"/>
  <cols>
    <col min="1" max="1" width="4.28515625" customWidth="1"/>
    <col min="2" max="2" width="42.140625" customWidth="1"/>
    <col min="3" max="3" width="30.85546875" bestFit="1" customWidth="1"/>
    <col min="4" max="4" width="15.5703125" customWidth="1"/>
    <col min="5" max="5" width="3" customWidth="1"/>
    <col min="6" max="6" width="3.42578125" customWidth="1"/>
    <col min="7" max="7" width="2.5703125" customWidth="1"/>
    <col min="8" max="8" width="3.85546875" customWidth="1"/>
    <col min="9" max="11" width="9.140625" hidden="1" customWidth="1"/>
    <col min="12" max="16384" width="9.140625" hidden="1"/>
  </cols>
  <sheetData>
    <row r="8" spans="2:4" ht="5.25" customHeight="1" thickBot="1" x14ac:dyDescent="0.3"/>
    <row r="9" spans="2:4" ht="18.75" x14ac:dyDescent="0.25">
      <c r="B9" s="14" t="s">
        <v>15</v>
      </c>
      <c r="C9" s="15"/>
      <c r="D9" s="16"/>
    </row>
    <row r="10" spans="2:4" ht="15.75" x14ac:dyDescent="0.25">
      <c r="B10" s="30" t="s">
        <v>14</v>
      </c>
      <c r="C10" s="31"/>
      <c r="D10" s="32">
        <v>2000</v>
      </c>
    </row>
    <row r="11" spans="2:4" ht="15.75" x14ac:dyDescent="0.25">
      <c r="B11" s="33" t="s">
        <v>13</v>
      </c>
      <c r="C11" s="34"/>
      <c r="D11" s="35">
        <v>6.0000000000000001E-3</v>
      </c>
    </row>
    <row r="12" spans="2:4" ht="16.5" thickBot="1" x14ac:dyDescent="0.3">
      <c r="B12" s="36" t="s">
        <v>33</v>
      </c>
      <c r="C12" s="37"/>
      <c r="D12" s="38">
        <f>D10*30%</f>
        <v>600</v>
      </c>
    </row>
    <row r="13" spans="2:4" ht="15.75" thickBot="1" x14ac:dyDescent="0.3"/>
    <row r="14" spans="2:4" ht="23.25" customHeight="1" x14ac:dyDescent="0.25">
      <c r="B14" s="4" t="s">
        <v>5</v>
      </c>
      <c r="C14" s="6"/>
      <c r="D14" s="17"/>
    </row>
    <row r="15" spans="2:4" ht="15.75" x14ac:dyDescent="0.25">
      <c r="B15" s="39" t="s">
        <v>0</v>
      </c>
      <c r="C15" s="40"/>
      <c r="D15" s="18">
        <f>sugestao_inestimento</f>
        <v>600</v>
      </c>
    </row>
    <row r="16" spans="2:4" ht="15.75" x14ac:dyDescent="0.25">
      <c r="B16" s="41" t="s">
        <v>1</v>
      </c>
      <c r="C16" s="42"/>
      <c r="D16" s="19">
        <v>5</v>
      </c>
    </row>
    <row r="17" spans="1:4" ht="15.75" x14ac:dyDescent="0.25">
      <c r="B17" s="41" t="s">
        <v>2</v>
      </c>
      <c r="C17" s="42"/>
      <c r="D17" s="20">
        <v>1.0789999999999999E-2</v>
      </c>
    </row>
    <row r="18" spans="1:4" ht="15.75" x14ac:dyDescent="0.25">
      <c r="B18" s="23" t="s">
        <v>3</v>
      </c>
      <c r="C18" s="24"/>
      <c r="D18" s="21">
        <f>FV(Taxa_mensal,Qtd_anos*12,Aporte*-1)</f>
        <v>50266.148399092584</v>
      </c>
    </row>
    <row r="19" spans="1:4" ht="16.5" thickBot="1" x14ac:dyDescent="0.3">
      <c r="B19" s="25" t="s">
        <v>4</v>
      </c>
      <c r="C19" s="26"/>
      <c r="D19" s="22">
        <f>Patrimonio*Rendimento_carteira</f>
        <v>301.59689039455549</v>
      </c>
    </row>
    <row r="20" spans="1:4" ht="15.75" thickBot="1" x14ac:dyDescent="0.3"/>
    <row r="21" spans="1:4" ht="21" x14ac:dyDescent="0.25">
      <c r="B21" s="1" t="s">
        <v>11</v>
      </c>
      <c r="C21" s="7"/>
      <c r="D21" s="5" t="s">
        <v>12</v>
      </c>
    </row>
    <row r="22" spans="1:4" ht="15.75" x14ac:dyDescent="0.25">
      <c r="A22" s="2">
        <v>2</v>
      </c>
      <c r="B22" s="27" t="s">
        <v>6</v>
      </c>
      <c r="C22" s="9">
        <f>FV($D$17,$A22*12,$D$15*-1)</f>
        <v>16336.57637858713</v>
      </c>
      <c r="D22" s="10">
        <f>C22*Rendimento_carteira</f>
        <v>98.01945827152278</v>
      </c>
    </row>
    <row r="23" spans="1:4" ht="15.75" x14ac:dyDescent="0.25">
      <c r="A23" s="2">
        <v>5</v>
      </c>
      <c r="B23" s="28" t="s">
        <v>7</v>
      </c>
      <c r="C23" s="11">
        <f>FV($D$17,$A23*12,$D$15*-1)</f>
        <v>50266.148399092584</v>
      </c>
      <c r="D23" s="10">
        <f>C23*Rendimento_carteira</f>
        <v>301.59689039455549</v>
      </c>
    </row>
    <row r="24" spans="1:4" ht="15.75" x14ac:dyDescent="0.25">
      <c r="A24" s="2">
        <v>10</v>
      </c>
      <c r="B24" s="28" t="s">
        <v>8</v>
      </c>
      <c r="C24" s="11">
        <f>FV($D$17,$A24*12,$D$15*-1)</f>
        <v>145970.52751810331</v>
      </c>
      <c r="D24" s="10">
        <f>C24*Rendimento_carteira</f>
        <v>875.82316510861983</v>
      </c>
    </row>
    <row r="25" spans="1:4" ht="15.75" x14ac:dyDescent="0.25">
      <c r="A25" s="2">
        <v>20</v>
      </c>
      <c r="B25" s="28" t="s">
        <v>9</v>
      </c>
      <c r="C25" s="11">
        <f>FV($D$17,$A25*12,$D$15*-1)</f>
        <v>675119.04005824833</v>
      </c>
      <c r="D25" s="10">
        <f>C25*Rendimento_carteira</f>
        <v>4050.71424034949</v>
      </c>
    </row>
    <row r="26" spans="1:4" ht="16.5" thickBot="1" x14ac:dyDescent="0.3">
      <c r="A26" s="2">
        <v>30</v>
      </c>
      <c r="B26" s="29" t="s">
        <v>10</v>
      </c>
      <c r="C26" s="12">
        <f>FV($D$17,$A26*12,$D$15*-1)</f>
        <v>2593301.7930028285</v>
      </c>
      <c r="D26" s="13">
        <f>C26*Rendimento_carteira</f>
        <v>15559.810758016971</v>
      </c>
    </row>
    <row r="28" spans="1:4" x14ac:dyDescent="0.25">
      <c r="B28" s="43" t="s">
        <v>19</v>
      </c>
      <c r="C28" s="44" t="s">
        <v>16</v>
      </c>
      <c r="D28" s="43"/>
    </row>
    <row r="29" spans="1:4" x14ac:dyDescent="0.25">
      <c r="B29" s="57" t="s">
        <v>18</v>
      </c>
      <c r="C29" s="58">
        <f>Aporte</f>
        <v>600</v>
      </c>
      <c r="D29" s="57"/>
    </row>
    <row r="31" spans="1:4" x14ac:dyDescent="0.25">
      <c r="B31" s="46" t="s">
        <v>21</v>
      </c>
      <c r="C31" s="47" t="s">
        <v>22</v>
      </c>
      <c r="D31" s="46" t="s">
        <v>23</v>
      </c>
    </row>
    <row r="32" spans="1:4" x14ac:dyDescent="0.25">
      <c r="B32" s="3" t="s">
        <v>24</v>
      </c>
      <c r="C32" s="8">
        <f>VLOOKUP($C$28&amp;"-"&amp;B32,'Tabela de apoio'!$A$2:$D$20,4,FALSE)</f>
        <v>0.32</v>
      </c>
      <c r="D32" s="48">
        <f>C32*$C$29</f>
        <v>192</v>
      </c>
    </row>
    <row r="33" spans="2:4" x14ac:dyDescent="0.25">
      <c r="B33" s="3" t="s">
        <v>25</v>
      </c>
      <c r="C33" s="8">
        <f>VLOOKUP($C$28&amp;"-"&amp;B33,'Tabela de apoio'!$A$2:$D$20,4,FALSE)</f>
        <v>0.4</v>
      </c>
      <c r="D33" s="48">
        <f t="shared" ref="D33:D37" si="0">C33*$C$29</f>
        <v>240</v>
      </c>
    </row>
    <row r="34" spans="2:4" x14ac:dyDescent="0.25">
      <c r="B34" s="3" t="s">
        <v>26</v>
      </c>
      <c r="C34" s="8">
        <f>VLOOKUP($C$28&amp;"-"&amp;B34,'Tabela de apoio'!$A$2:$D$20,4,FALSE)</f>
        <v>0.08</v>
      </c>
      <c r="D34" s="48">
        <f t="shared" si="0"/>
        <v>48</v>
      </c>
    </row>
    <row r="35" spans="2:4" x14ac:dyDescent="0.25">
      <c r="B35" s="3" t="s">
        <v>27</v>
      </c>
      <c r="C35" s="8">
        <f>VLOOKUP($C$28&amp;"-"&amp;B35,'Tabela de apoio'!$A$2:$D$20,4,FALSE)</f>
        <v>0.1</v>
      </c>
      <c r="D35" s="48">
        <f t="shared" si="0"/>
        <v>60</v>
      </c>
    </row>
    <row r="36" spans="2:4" x14ac:dyDescent="0.25">
      <c r="B36" s="3" t="s">
        <v>28</v>
      </c>
      <c r="C36" s="8">
        <f>VLOOKUP($C$28&amp;"-"&amp;B36,'Tabela de apoio'!$A$2:$D$20,4,FALSE)</f>
        <v>0.1</v>
      </c>
      <c r="D36" s="48">
        <f t="shared" si="0"/>
        <v>60</v>
      </c>
    </row>
    <row r="37" spans="2:4" x14ac:dyDescent="0.25">
      <c r="B37" s="3" t="s">
        <v>29</v>
      </c>
      <c r="C37" s="8">
        <f>VLOOKUP($C$28&amp;"-"&amp;B37,'Tabela de apoio'!$A$2:$D$20,4,FALSE)</f>
        <v>0</v>
      </c>
      <c r="D37" s="48">
        <f t="shared" si="0"/>
        <v>0</v>
      </c>
    </row>
    <row r="38" spans="2:4" x14ac:dyDescent="0.25">
      <c r="B38" s="47"/>
      <c r="C38" s="56">
        <f>SUM(C32:C37)</f>
        <v>0.99999999999999989</v>
      </c>
      <c r="D38" s="49">
        <f>SUM(D32:D37)</f>
        <v>600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</sheetData>
  <mergeCells count="11">
    <mergeCell ref="B14:D14"/>
    <mergeCell ref="B9:D9"/>
    <mergeCell ref="B10:C10"/>
    <mergeCell ref="B11:C11"/>
    <mergeCell ref="B12:C12"/>
    <mergeCell ref="B21:C21"/>
    <mergeCell ref="B15:C15"/>
    <mergeCell ref="B16:C16"/>
    <mergeCell ref="B17:C17"/>
    <mergeCell ref="B18:C18"/>
    <mergeCell ref="B19:C19"/>
  </mergeCells>
  <dataValidations count="1">
    <dataValidation type="list" allowBlank="1" showInputMessage="1" showErrorMessage="1" sqref="C28" xr:uid="{4C4886E7-5C25-4533-A303-91DDBA2674E1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21AEA-B82B-4B44-95A9-89C1D4F85099}">
  <sheetPr>
    <tabColor rgb="FF00B0F0"/>
  </sheetPr>
  <dimension ref="A2:H20"/>
  <sheetViews>
    <sheetView workbookViewId="0">
      <selection activeCell="H17" sqref="H17"/>
    </sheetView>
  </sheetViews>
  <sheetFormatPr defaultRowHeight="15" x14ac:dyDescent="0.25"/>
  <cols>
    <col min="1" max="1" width="30.85546875" bestFit="1" customWidth="1"/>
    <col min="2" max="2" width="12.140625" bestFit="1" customWidth="1"/>
    <col min="3" max="3" width="18.5703125" bestFit="1" customWidth="1"/>
    <col min="7" max="7" width="16.85546875" bestFit="1" customWidth="1"/>
  </cols>
  <sheetData>
    <row r="2" spans="1:8" x14ac:dyDescent="0.25">
      <c r="A2" s="45" t="s">
        <v>31</v>
      </c>
      <c r="B2" s="45" t="s">
        <v>19</v>
      </c>
      <c r="C2" s="45" t="s">
        <v>21</v>
      </c>
      <c r="D2" s="45" t="s">
        <v>30</v>
      </c>
    </row>
    <row r="3" spans="1:8" x14ac:dyDescent="0.25">
      <c r="A3" t="str">
        <f>B3&amp;"-"&amp;C3</f>
        <v>Conservador-PAPEL</v>
      </c>
      <c r="B3" t="s">
        <v>17</v>
      </c>
      <c r="C3" s="3" t="s">
        <v>24</v>
      </c>
      <c r="D3" s="8">
        <v>0.3</v>
      </c>
      <c r="G3" t="s">
        <v>31</v>
      </c>
      <c r="H3" t="s">
        <v>30</v>
      </c>
    </row>
    <row r="4" spans="1:8" x14ac:dyDescent="0.25">
      <c r="A4" t="str">
        <f t="shared" ref="A4:A20" si="0">B4&amp;"-"&amp;C4</f>
        <v>Conservador-TIJOLO</v>
      </c>
      <c r="B4" t="s">
        <v>17</v>
      </c>
      <c r="C4" s="3" t="s">
        <v>25</v>
      </c>
      <c r="D4" s="8">
        <v>0.5</v>
      </c>
      <c r="G4" s="43" t="s">
        <v>32</v>
      </c>
      <c r="H4" s="55">
        <f>VLOOKUP(G4,$A:$D,4,FALSE)</f>
        <v>0.4</v>
      </c>
    </row>
    <row r="5" spans="1:8" x14ac:dyDescent="0.25">
      <c r="A5" t="str">
        <f t="shared" si="0"/>
        <v>Conservador-HIBRIDOS</v>
      </c>
      <c r="B5" t="s">
        <v>17</v>
      </c>
      <c r="C5" s="3" t="s">
        <v>26</v>
      </c>
      <c r="D5" s="8">
        <v>0.1</v>
      </c>
    </row>
    <row r="6" spans="1:8" x14ac:dyDescent="0.25">
      <c r="A6" t="str">
        <f t="shared" si="0"/>
        <v>Conservador-FOFs</v>
      </c>
      <c r="B6" t="s">
        <v>17</v>
      </c>
      <c r="C6" s="3" t="s">
        <v>27</v>
      </c>
      <c r="D6" s="8">
        <v>0.1</v>
      </c>
    </row>
    <row r="7" spans="1:8" x14ac:dyDescent="0.25">
      <c r="A7" t="str">
        <f t="shared" si="0"/>
        <v>Conservador-DESENVOLVIMENTO</v>
      </c>
      <c r="B7" t="s">
        <v>17</v>
      </c>
      <c r="C7" s="3" t="s">
        <v>28</v>
      </c>
      <c r="D7" s="8">
        <v>0</v>
      </c>
    </row>
    <row r="8" spans="1:8" ht="15.75" thickBot="1" x14ac:dyDescent="0.3">
      <c r="A8" s="50" t="str">
        <f t="shared" si="0"/>
        <v>Conservador-HOTELARIAS</v>
      </c>
      <c r="B8" s="50" t="s">
        <v>17</v>
      </c>
      <c r="C8" s="51" t="s">
        <v>29</v>
      </c>
      <c r="D8" s="52">
        <v>0</v>
      </c>
    </row>
    <row r="9" spans="1:8" x14ac:dyDescent="0.25">
      <c r="A9" t="str">
        <f t="shared" si="0"/>
        <v>Moderado-PAPEL</v>
      </c>
      <c r="B9" t="s">
        <v>16</v>
      </c>
      <c r="C9" s="3" t="s">
        <v>24</v>
      </c>
      <c r="D9" s="53">
        <v>0.32</v>
      </c>
    </row>
    <row r="10" spans="1:8" x14ac:dyDescent="0.25">
      <c r="A10" t="str">
        <f t="shared" si="0"/>
        <v>Moderado-TIJOLO</v>
      </c>
      <c r="B10" t="s">
        <v>16</v>
      </c>
      <c r="C10" s="3" t="s">
        <v>25</v>
      </c>
      <c r="D10" s="53">
        <v>0.4</v>
      </c>
    </row>
    <row r="11" spans="1:8" x14ac:dyDescent="0.25">
      <c r="A11" t="str">
        <f t="shared" si="0"/>
        <v>Moderado-HIBRIDOS</v>
      </c>
      <c r="B11" t="s">
        <v>16</v>
      </c>
      <c r="C11" s="3" t="s">
        <v>26</v>
      </c>
      <c r="D11" s="53">
        <v>0.08</v>
      </c>
    </row>
    <row r="12" spans="1:8" x14ac:dyDescent="0.25">
      <c r="A12" t="str">
        <f t="shared" si="0"/>
        <v>Moderado-FOFs</v>
      </c>
      <c r="B12" t="s">
        <v>16</v>
      </c>
      <c r="C12" s="3" t="s">
        <v>27</v>
      </c>
      <c r="D12" s="53">
        <v>0.1</v>
      </c>
    </row>
    <row r="13" spans="1:8" x14ac:dyDescent="0.25">
      <c r="A13" t="str">
        <f t="shared" si="0"/>
        <v>Moderado-DESENVOLVIMENTO</v>
      </c>
      <c r="B13" t="s">
        <v>16</v>
      </c>
      <c r="C13" s="3" t="s">
        <v>28</v>
      </c>
      <c r="D13" s="53">
        <v>0.1</v>
      </c>
    </row>
    <row r="14" spans="1:8" ht="15.75" thickBot="1" x14ac:dyDescent="0.3">
      <c r="A14" s="50" t="str">
        <f t="shared" si="0"/>
        <v>Moderado-HOTELARIAS</v>
      </c>
      <c r="B14" s="50" t="s">
        <v>16</v>
      </c>
      <c r="C14" s="51" t="s">
        <v>29</v>
      </c>
      <c r="D14" s="54">
        <v>0</v>
      </c>
    </row>
    <row r="15" spans="1:8" x14ac:dyDescent="0.25">
      <c r="A15" t="str">
        <f t="shared" si="0"/>
        <v>Agressivo-PAPEL</v>
      </c>
      <c r="B15" t="s">
        <v>20</v>
      </c>
      <c r="C15" s="3" t="s">
        <v>24</v>
      </c>
      <c r="D15" s="53">
        <v>0.5</v>
      </c>
    </row>
    <row r="16" spans="1:8" x14ac:dyDescent="0.25">
      <c r="A16" t="str">
        <f t="shared" si="0"/>
        <v>Agressivo-TIJOLO</v>
      </c>
      <c r="B16" t="s">
        <v>20</v>
      </c>
      <c r="C16" s="3" t="s">
        <v>25</v>
      </c>
      <c r="D16" s="53">
        <v>0.1</v>
      </c>
    </row>
    <row r="17" spans="1:4" x14ac:dyDescent="0.25">
      <c r="A17" t="str">
        <f t="shared" si="0"/>
        <v>Agressivo-HIBRIDOS</v>
      </c>
      <c r="B17" t="s">
        <v>20</v>
      </c>
      <c r="C17" s="3" t="s">
        <v>26</v>
      </c>
      <c r="D17" s="53">
        <v>0.05</v>
      </c>
    </row>
    <row r="18" spans="1:4" x14ac:dyDescent="0.25">
      <c r="A18" t="str">
        <f t="shared" si="0"/>
        <v>Agressivo-FOFs</v>
      </c>
      <c r="B18" t="s">
        <v>20</v>
      </c>
      <c r="C18" s="3" t="s">
        <v>27</v>
      </c>
      <c r="D18" s="53">
        <v>0.05</v>
      </c>
    </row>
    <row r="19" spans="1:4" x14ac:dyDescent="0.25">
      <c r="A19" t="str">
        <f t="shared" si="0"/>
        <v>Agressivo-DESENVOLVIMENTO</v>
      </c>
      <c r="B19" t="s">
        <v>20</v>
      </c>
      <c r="C19" s="3" t="s">
        <v>28</v>
      </c>
      <c r="D19" s="53">
        <v>0.2</v>
      </c>
    </row>
    <row r="20" spans="1:4" x14ac:dyDescent="0.25">
      <c r="A20" t="str">
        <f t="shared" si="0"/>
        <v>Agressivo-HOTELARIAS</v>
      </c>
      <c r="B20" t="s">
        <v>20</v>
      </c>
      <c r="C20" s="3" t="s">
        <v>29</v>
      </c>
      <c r="D20" s="53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Controle de Investimento</vt:lpstr>
      <vt:lpstr>Tabela de apoio</vt:lpstr>
      <vt:lpstr>Aporte</vt:lpstr>
      <vt:lpstr>Patrimonio</vt:lpstr>
      <vt:lpstr>Qtd_anos</vt:lpstr>
      <vt:lpstr>Rendimento_carteira</vt:lpstr>
      <vt:lpstr>Salario</vt:lpstr>
      <vt:lpstr>sugestao_inestimento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Eleilton Santos</dc:creator>
  <cp:lastModifiedBy>Eleilton Santos</cp:lastModifiedBy>
  <dcterms:created xsi:type="dcterms:W3CDTF">2026-01-16T12:37:39Z</dcterms:created>
  <dcterms:modified xsi:type="dcterms:W3CDTF">2026-01-16T19:29:48Z</dcterms:modified>
</cp:coreProperties>
</file>