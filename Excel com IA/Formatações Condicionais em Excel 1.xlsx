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2c93962861e008/"/>
    </mc:Choice>
  </mc:AlternateContent>
  <xr:revisionPtr revIDLastSave="108" documentId="8_{39DE2E4C-8D93-4F30-AF4A-ACECA2FED99B}" xr6:coauthVersionLast="47" xr6:coauthVersionMax="47" xr10:uidLastSave="{886F41D0-F046-45DA-A2D7-6F018745FECF}"/>
  <bookViews>
    <workbookView xWindow="-120" yWindow="-120" windowWidth="24240" windowHeight="13020" xr2:uid="{C42296EB-F76A-4497-B348-F2A86447A65B}"/>
  </bookViews>
  <sheets>
    <sheet name="Dados" sheetId="1" r:id="rId1"/>
    <sheet name="Categoria Profisisonal Normaliz" sheetId="2" r:id="rId2"/>
  </sheets>
  <definedNames>
    <definedName name="_xlnm._FilterDatabase" localSheetId="0" hidden="1">Dados!$A$4:$E$4</definedName>
  </definedNames>
  <calcPr calcId="0"/>
</workbook>
</file>

<file path=xl/calcChain.xml><?xml version="1.0" encoding="utf-8"?>
<calcChain xmlns="http://schemas.openxmlformats.org/spreadsheetml/2006/main">
  <c r="D6" i="1" l="1"/>
  <c r="D24" i="1"/>
  <c r="D23" i="1"/>
  <c r="D5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</calcChain>
</file>

<file path=xl/sharedStrings.xml><?xml version="1.0" encoding="utf-8"?>
<sst xmlns="http://schemas.openxmlformats.org/spreadsheetml/2006/main" count="35" uniqueCount="12">
  <si>
    <t>ID</t>
  </si>
  <si>
    <t>Renda_Anual</t>
  </si>
  <si>
    <t>Categoria_Profissional</t>
  </si>
  <si>
    <t>Percentual_Imposto</t>
  </si>
  <si>
    <t>CLT</t>
  </si>
  <si>
    <t>AutÃ´nomo</t>
  </si>
  <si>
    <t>EmpresÃ¡rio</t>
  </si>
  <si>
    <t>De</t>
  </si>
  <si>
    <t>Para</t>
  </si>
  <si>
    <t>Autônomo</t>
  </si>
  <si>
    <t>Empresário</t>
  </si>
  <si>
    <t>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</si>
</sst>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R$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5" fontId="0" fillId="0" borderId="0" xfId="0" applyNumberFormat="1" applyAlignment="1">
      <alignment horizontal="lef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center"/>
    </xf>
    <xf numFmtId="2" fontId="8" fillId="0" borderId="0" xfId="8" applyNumberFormat="1" applyFill="1" applyAlignment="1">
      <alignment horizontal="center"/>
    </xf>
    <xf numFmtId="0" fontId="17" fillId="33" borderId="0" xfId="0" applyFont="1" applyFill="1"/>
    <xf numFmtId="0" fontId="10" fillId="6" borderId="5" xfId="10"/>
    <xf numFmtId="0" fontId="1" fillId="32" borderId="0" xfId="4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0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strike val="0"/>
        <color theme="1"/>
      </font>
      <fill>
        <patternFill>
          <bgColor rgb="FFFFC000"/>
        </patternFill>
      </fill>
    </dxf>
    <dxf>
      <font>
        <b/>
        <i val="0"/>
        <strike val="0"/>
        <color theme="1"/>
      </font>
      <fill>
        <patternFill>
          <bgColor rgb="FFFFC000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ont>
        <b/>
        <i val="0"/>
        <strike val="0"/>
        <color theme="1"/>
      </font>
      <fill>
        <patternFill>
          <bgColor rgb="FFFFC000"/>
        </patternFill>
      </fill>
    </dxf>
    <dxf>
      <font>
        <b/>
        <i val="0"/>
        <strike val="0"/>
        <color theme="1"/>
      </font>
      <fill>
        <patternFill>
          <bgColor rgb="FFFFC000"/>
        </patternFill>
      </fill>
    </dxf>
    <dxf>
      <font>
        <b/>
        <i val="0"/>
        <strike val="0"/>
        <color theme="1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D6D96D-7B0B-47D4-B0EA-918327911636}" name="Tabela1" displayName="Tabela1" ref="A1:B4" totalsRowShown="0">
  <autoFilter ref="A1:B4" xr:uid="{C4D6D96D-7B0B-47D4-B0EA-918327911636}"/>
  <tableColumns count="2">
    <tableColumn id="1" xr3:uid="{079B00D1-A485-4A29-A8B6-6BA7A80DB864}" name="De"/>
    <tableColumn id="2" xr3:uid="{B629BC92-986A-414E-B9A7-256151F00E5B}" name="Par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E82C9-3C33-4022-A198-E0742D4E862B}">
  <dimension ref="A2:E24"/>
  <sheetViews>
    <sheetView showGridLines="0" tabSelected="1" workbookViewId="0">
      <selection activeCell="G7" sqref="G7"/>
    </sheetView>
  </sheetViews>
  <sheetFormatPr defaultRowHeight="15" x14ac:dyDescent="0.25"/>
  <cols>
    <col min="1" max="1" width="4" customWidth="1"/>
    <col min="2" max="2" width="13.5703125" customWidth="1"/>
    <col min="3" max="3" width="21.42578125" bestFit="1" customWidth="1"/>
    <col min="4" max="4" width="21.42578125" customWidth="1"/>
    <col min="5" max="5" width="18.85546875" bestFit="1" customWidth="1"/>
  </cols>
  <sheetData>
    <row r="2" spans="1:5" x14ac:dyDescent="0.25">
      <c r="C2" s="6" t="s">
        <v>11</v>
      </c>
      <c r="D2" s="7" t="s">
        <v>4</v>
      </c>
      <c r="E2" s="4"/>
    </row>
    <row r="4" spans="1:5" x14ac:dyDescent="0.25">
      <c r="A4" s="5" t="s">
        <v>0</v>
      </c>
      <c r="B4" s="5" t="s">
        <v>1</v>
      </c>
      <c r="C4" s="5" t="s">
        <v>2</v>
      </c>
      <c r="D4" s="5" t="s">
        <v>2</v>
      </c>
      <c r="E4" s="5" t="s">
        <v>3</v>
      </c>
    </row>
    <row r="5" spans="1:5" x14ac:dyDescent="0.25">
      <c r="A5" s="3">
        <v>1</v>
      </c>
      <c r="B5" s="1">
        <v>141958</v>
      </c>
      <c r="C5" t="s">
        <v>4</v>
      </c>
      <c r="D5" t="str">
        <f>VLOOKUP(C5,Tabela1[#All],2,FALSE)</f>
        <v>CLT</v>
      </c>
      <c r="E5" s="2">
        <v>28.56</v>
      </c>
    </row>
    <row r="6" spans="1:5" x14ac:dyDescent="0.25">
      <c r="A6" s="3">
        <v>2</v>
      </c>
      <c r="B6" s="1">
        <v>35795</v>
      </c>
      <c r="C6" t="s">
        <v>5</v>
      </c>
      <c r="D6" t="str">
        <f>VLOOKUP(C6,Tabela1[#All],2,FALSE)</f>
        <v>Autônomo</v>
      </c>
      <c r="E6" s="2">
        <v>10.99</v>
      </c>
    </row>
    <row r="7" spans="1:5" x14ac:dyDescent="0.25">
      <c r="A7" s="3">
        <v>3</v>
      </c>
      <c r="B7" s="1">
        <v>20860</v>
      </c>
      <c r="C7" t="s">
        <v>4</v>
      </c>
      <c r="D7" t="str">
        <f>VLOOKUP(C7,Tabela1[#All],2,FALSE)</f>
        <v>CLT</v>
      </c>
      <c r="E7" s="2">
        <v>20.43</v>
      </c>
    </row>
    <row r="8" spans="1:5" x14ac:dyDescent="0.25">
      <c r="A8" s="3">
        <v>4</v>
      </c>
      <c r="B8" s="1">
        <v>123694</v>
      </c>
      <c r="C8" t="s">
        <v>4</v>
      </c>
      <c r="D8" t="str">
        <f>VLOOKUP(C8,Tabela1[#All],2,FALSE)</f>
        <v>CLT</v>
      </c>
      <c r="E8" s="2">
        <v>22.77</v>
      </c>
    </row>
    <row r="9" spans="1:5" x14ac:dyDescent="0.25">
      <c r="A9" s="3">
        <v>5</v>
      </c>
      <c r="B9" s="1">
        <v>148106</v>
      </c>
      <c r="C9" t="s">
        <v>4</v>
      </c>
      <c r="D9" t="str">
        <f>VLOOKUP(C9,Tabela1[#All],2,FALSE)</f>
        <v>CLT</v>
      </c>
      <c r="E9" s="2">
        <v>6.39</v>
      </c>
    </row>
    <row r="10" spans="1:5" x14ac:dyDescent="0.25">
      <c r="A10" s="3">
        <v>6</v>
      </c>
      <c r="B10" s="1">
        <v>139879</v>
      </c>
      <c r="C10" t="s">
        <v>4</v>
      </c>
      <c r="D10" t="str">
        <f>VLOOKUP(C10,Tabela1[#All],2,FALSE)</f>
        <v>CLT</v>
      </c>
      <c r="E10" s="2">
        <v>23.23</v>
      </c>
    </row>
    <row r="11" spans="1:5" x14ac:dyDescent="0.25">
      <c r="A11" s="3">
        <v>7</v>
      </c>
      <c r="B11" s="1">
        <v>130268</v>
      </c>
      <c r="C11" t="s">
        <v>5</v>
      </c>
      <c r="D11" t="str">
        <f>VLOOKUP(C11,Tabela1[#All],2,FALSE)</f>
        <v>Autônomo</v>
      </c>
      <c r="E11" s="2">
        <v>10.119999999999999</v>
      </c>
    </row>
    <row r="12" spans="1:5" x14ac:dyDescent="0.25">
      <c r="A12" s="3">
        <v>8</v>
      </c>
      <c r="B12" s="1">
        <v>96820</v>
      </c>
      <c r="C12" t="s">
        <v>5</v>
      </c>
      <c r="D12" t="str">
        <f>VLOOKUP(C12,Tabela1[#All],2,FALSE)</f>
        <v>Autônomo</v>
      </c>
      <c r="E12" s="2">
        <v>6.95</v>
      </c>
    </row>
    <row r="13" spans="1:5" x14ac:dyDescent="0.25">
      <c r="A13" s="3">
        <v>9</v>
      </c>
      <c r="B13" s="1">
        <v>74886</v>
      </c>
      <c r="C13" t="s">
        <v>4</v>
      </c>
      <c r="D13" t="str">
        <f>VLOOKUP(C13,Tabela1[#All],2,FALSE)</f>
        <v>CLT</v>
      </c>
      <c r="E13" s="2">
        <v>33.47</v>
      </c>
    </row>
    <row r="14" spans="1:5" x14ac:dyDescent="0.25">
      <c r="A14" s="3">
        <v>10</v>
      </c>
      <c r="B14" s="1">
        <v>26265</v>
      </c>
      <c r="C14" t="s">
        <v>4</v>
      </c>
      <c r="D14" t="str">
        <f>VLOOKUP(C14,Tabela1[#All],2,FALSE)</f>
        <v>CLT</v>
      </c>
      <c r="E14" s="2">
        <v>33.97</v>
      </c>
    </row>
    <row r="15" spans="1:5" x14ac:dyDescent="0.25">
      <c r="A15" s="3">
        <v>11</v>
      </c>
      <c r="B15" s="1">
        <v>102386</v>
      </c>
      <c r="C15" t="s">
        <v>5</v>
      </c>
      <c r="D15" t="str">
        <f>VLOOKUP(C15,Tabela1[#All],2,FALSE)</f>
        <v>Autônomo</v>
      </c>
      <c r="E15" s="2">
        <v>29.25</v>
      </c>
    </row>
    <row r="16" spans="1:5" x14ac:dyDescent="0.25">
      <c r="A16" s="3">
        <v>12</v>
      </c>
      <c r="B16" s="1">
        <v>148214</v>
      </c>
      <c r="C16" t="s">
        <v>5</v>
      </c>
      <c r="D16" t="str">
        <f>VLOOKUP(C16,Tabela1[#All],2,FALSE)</f>
        <v>Autônomo</v>
      </c>
      <c r="E16" s="2">
        <v>14.14</v>
      </c>
    </row>
    <row r="17" spans="1:5" x14ac:dyDescent="0.25">
      <c r="A17" s="3">
        <v>13</v>
      </c>
      <c r="B17" s="1">
        <v>57194</v>
      </c>
      <c r="C17" t="s">
        <v>5</v>
      </c>
      <c r="D17" t="str">
        <f>VLOOKUP(C17,Tabela1[#All],2,FALSE)</f>
        <v>Autônomo</v>
      </c>
      <c r="E17" s="2">
        <v>7.93</v>
      </c>
    </row>
    <row r="18" spans="1:5" x14ac:dyDescent="0.25">
      <c r="A18" s="3">
        <v>14</v>
      </c>
      <c r="B18" s="1">
        <v>107498</v>
      </c>
      <c r="C18" t="s">
        <v>6</v>
      </c>
      <c r="D18" t="str">
        <f>VLOOKUP(C18,Tabela1[#All],2,FALSE)</f>
        <v>Empresário</v>
      </c>
      <c r="E18" s="2">
        <v>25.53</v>
      </c>
    </row>
    <row r="19" spans="1:5" x14ac:dyDescent="0.25">
      <c r="A19" s="3">
        <v>15</v>
      </c>
      <c r="B19" s="1">
        <v>132727</v>
      </c>
      <c r="C19" t="s">
        <v>6</v>
      </c>
      <c r="D19" t="str">
        <f>VLOOKUP(C19,Tabela1[#All],2,FALSE)</f>
        <v>Empresário</v>
      </c>
      <c r="E19" s="2">
        <v>18.2</v>
      </c>
    </row>
    <row r="20" spans="1:5" x14ac:dyDescent="0.25">
      <c r="A20" s="3">
        <v>16</v>
      </c>
      <c r="B20" s="1">
        <v>146324</v>
      </c>
      <c r="C20" t="s">
        <v>6</v>
      </c>
      <c r="D20" t="str">
        <f>VLOOKUP(C20,Tabela1[#All],2,FALSE)</f>
        <v>Empresário</v>
      </c>
      <c r="E20" s="2">
        <v>8.66</v>
      </c>
    </row>
    <row r="21" spans="1:5" x14ac:dyDescent="0.25">
      <c r="A21" s="3">
        <v>17</v>
      </c>
      <c r="B21" s="1">
        <v>64131</v>
      </c>
      <c r="C21" t="s">
        <v>4</v>
      </c>
      <c r="D21" t="str">
        <f>VLOOKUP(C21,Tabela1[#All],2,FALSE)</f>
        <v>CLT</v>
      </c>
      <c r="E21" s="2">
        <v>19.86</v>
      </c>
    </row>
    <row r="22" spans="1:5" x14ac:dyDescent="0.25">
      <c r="A22" s="3">
        <v>18</v>
      </c>
      <c r="B22" s="1">
        <v>80263</v>
      </c>
      <c r="C22" t="s">
        <v>6</v>
      </c>
      <c r="D22" t="str">
        <f>VLOOKUP(C22,Tabela1[#All],2,FALSE)</f>
        <v>Empresário</v>
      </c>
      <c r="E22" s="2">
        <v>6.03</v>
      </c>
    </row>
    <row r="23" spans="1:5" x14ac:dyDescent="0.25">
      <c r="A23" s="3">
        <v>19</v>
      </c>
      <c r="B23" s="1">
        <v>36023</v>
      </c>
      <c r="C23" t="s">
        <v>4</v>
      </c>
      <c r="D23" t="str">
        <f>VLOOKUP(C23,Tabela1[#All],2,FALSE)</f>
        <v>CLT</v>
      </c>
      <c r="E23" s="2">
        <v>32.28</v>
      </c>
    </row>
    <row r="24" spans="1:5" x14ac:dyDescent="0.25">
      <c r="A24" s="3">
        <v>20</v>
      </c>
      <c r="B24" s="1">
        <v>61090</v>
      </c>
      <c r="C24" t="s">
        <v>4</v>
      </c>
      <c r="D24" t="str">
        <f>VLOOKUP(C24,Tabela1[#All],2,FALSE)</f>
        <v>CLT</v>
      </c>
      <c r="E24" s="2">
        <v>12.76</v>
      </c>
    </row>
  </sheetData>
  <autoFilter ref="A4:E4" xr:uid="{D0BE82C9-3C33-4022-A198-E0742D4E862B}"/>
  <conditionalFormatting sqref="A5:E24">
    <cfRule type="expression" dxfId="0" priority="3">
      <formula>$D$2=$D5</formula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E16B0DB-73F4-45B5-8699-749CB7DBD1C8}">
          <x14:formula1>
            <xm:f>'Categoria Profisisonal Normaliz'!$B$2:$B$4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CF504-3346-43F9-B01E-D2525ABCDEA9}">
  <dimension ref="A1:B4"/>
  <sheetViews>
    <sheetView workbookViewId="0">
      <selection activeCell="G19" sqref="G19"/>
    </sheetView>
  </sheetViews>
  <sheetFormatPr defaultRowHeight="15" x14ac:dyDescent="0.25"/>
  <cols>
    <col min="1" max="1" width="21.42578125" bestFit="1" customWidth="1"/>
    <col min="2" max="2" width="11.140625" bestFit="1" customWidth="1"/>
  </cols>
  <sheetData>
    <row r="1" spans="1:2" x14ac:dyDescent="0.25">
      <c r="A1" t="s">
        <v>7</v>
      </c>
      <c r="B1" t="s">
        <v>8</v>
      </c>
    </row>
    <row r="2" spans="1:2" x14ac:dyDescent="0.25">
      <c r="A2" t="s">
        <v>4</v>
      </c>
      <c r="B2" t="s">
        <v>4</v>
      </c>
    </row>
    <row r="3" spans="1:2" x14ac:dyDescent="0.25">
      <c r="A3" t="s">
        <v>5</v>
      </c>
      <c r="B3" t="s">
        <v>9</v>
      </c>
    </row>
    <row r="4" spans="1:2" x14ac:dyDescent="0.25">
      <c r="A4" t="s">
        <v>6</v>
      </c>
      <c r="B4" t="s">
        <v>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Categoria Profisisonal Normaliz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Ilton Santos</dc:creator>
  <cp:lastModifiedBy>Eleilton Santos</cp:lastModifiedBy>
  <dcterms:created xsi:type="dcterms:W3CDTF">2026-01-15T13:45:48Z</dcterms:created>
  <dcterms:modified xsi:type="dcterms:W3CDTF">2026-01-15T17:56:13Z</dcterms:modified>
</cp:coreProperties>
</file>