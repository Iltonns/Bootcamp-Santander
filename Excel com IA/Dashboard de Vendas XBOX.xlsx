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2c93962861e008/"/>
    </mc:Choice>
  </mc:AlternateContent>
  <xr:revisionPtr revIDLastSave="775" documentId="8_{3086C716-4831-4662-B466-8BD82AD9AC1C}" xr6:coauthVersionLast="47" xr6:coauthVersionMax="47" xr10:uidLastSave="{79869620-08D5-403D-B4DB-9200D417C83C}"/>
  <bookViews>
    <workbookView xWindow="-23148" yWindow="-108" windowWidth="23256" windowHeight="12456" tabRatio="333" activeTab="1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Auto_Renewal">#N/A</definedName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3" l="1"/>
  <c r="E23" i="3"/>
  <c r="E34" i="3"/>
</calcChain>
</file>

<file path=xl/sharedStrings.xml><?xml version="1.0" encoding="utf-8"?>
<sst xmlns="http://schemas.openxmlformats.org/spreadsheetml/2006/main" count="2039" uniqueCount="329">
  <si>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</si>
  <si>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</si>
  <si>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</si>
  <si>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</si>
  <si>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</si>
  <si>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</si>
  <si>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</si>
  <si>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</si>
  <si>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</si>
  <si>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</si>
  <si>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</si>
  <si>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</si>
  <si>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</si>
  <si>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</si>
  <si>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</si>
  <si>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</si>
  <si>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</si>
  <si>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</si>
  <si>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</si>
  <si>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</si>
  <si>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</si>
  <si>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</si>
  <si>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</si>
  <si>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</si>
  <si>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</si>
  <si>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</si>
  <si>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</si>
  <si>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</si>
  <si>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</si>
  <si>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</si>
  <si>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</si>
  <si>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</si>
  <si>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</si>
  <si>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</si>
  <si>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</si>
  <si>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</si>
  <si>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</si>
  <si>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</si>
  <si>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</si>
  <si>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</si>
  <si>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</si>
  <si>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</si>
  <si>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</si>
  <si>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</si>
  <si>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</si>
  <si>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</si>
  <si>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</si>
  <si>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</si>
  <si>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</si>
  <si>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</si>
  <si>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</si>
  <si>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</si>
  <si>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</si>
  <si>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</si>
  <si>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</si>
  <si>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</si>
  <si>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</si>
  <si>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</si>
  <si>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</si>
  <si>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</si>
  <si>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</si>
  <si>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</si>
  <si>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</si>
  <si>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</si>
  <si>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</si>
  <si>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</si>
  <si>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</si>
  <si>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</si>
  <si>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</si>
  <si>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</si>
  <si>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</si>
  <si>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</si>
  <si>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</si>
  <si>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</si>
  <si>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</si>
  <si>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</si>
  <si>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</si>
  <si>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</si>
  <si>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</si>
  <si>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</si>
  <si>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</si>
  <si>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</si>
  <si>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</si>
  <si>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</si>
  <si>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</si>
  <si>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</si>
  <si>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</si>
  <si>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</si>
  <si>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</si>
  <si>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</si>
  <si>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</si>
  <si>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</si>
  <si>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</si>
  <si>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</si>
  <si>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</si>
  <si>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</si>
  <si>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</si>
  <si>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</si>
  <si>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</si>
  <si>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</si>
  <si>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</si>
  <si>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</si>
  <si>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</si>
  <si>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</si>
  <si>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</si>
  <si>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</si>
  <si>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</si>
  <si>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</si>
  <si>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</si>
  <si>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</si>
  <si>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</si>
  <si>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</si>
  <si>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</si>
  <si>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</si>
  <si>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</si>
  <si>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</si>
  <si>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</si>
  <si>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</si>
  <si>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</si>
  <si>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</si>
  <si>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</si>
  <si>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</si>
  <si>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</si>
  <si>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</si>
  <si>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</si>
  <si>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</si>
  <si>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</si>
  <si>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</si>
  <si>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</si>
  <si>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</si>
  <si>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</si>
  <si>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</si>
  <si>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</si>
  <si>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</si>
  <si>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</si>
  <si>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</si>
  <si>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</si>
  <si>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</si>
  <si>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</si>
  <si>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</si>
  <si>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</si>
  <si>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</si>
  <si>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</si>
  <si>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</si>
  <si>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</si>
  <si>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</si>
  <si>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</si>
  <si>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</si>
  <si>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</si>
  <si>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</si>
  <si>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</si>
  <si>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</si>
  <si>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</si>
  <si>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</si>
  <si>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</si>
  <si>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</si>
  <si>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</si>
  <si>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</si>
  <si>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</si>
  <si>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</si>
  <si>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</si>
  <si>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</si>
  <si>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</si>
  <si>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</si>
  <si>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</si>
  <si>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</si>
  <si>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</si>
  <si>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</si>
  <si>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</si>
  <si>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</si>
  <si>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</si>
  <si>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</si>
  <si>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</si>
  <si>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</si>
  <si>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</si>
  <si>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</si>
  <si>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</si>
  <si>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</si>
  <si>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</si>
  <si>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</si>
  <si>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</si>
  <si>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</si>
  <si>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</si>
  <si>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</si>
  <si>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</si>
  <si>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</si>
  <si>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</si>
  <si>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</si>
  <si>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</si>
  <si>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</si>
  <si>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</si>
  <si>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</si>
  <si>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</si>
  <si>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</si>
  <si>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</si>
  <si>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</si>
  <si>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</si>
  <si>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</si>
  <si>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</si>
  <si>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</si>
  <si>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</si>
  <si>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</si>
  <si>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</si>
  <si>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</si>
  <si>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</si>
  <si>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</si>
  <si>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</si>
  <si>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</si>
  <si>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</si>
  <si>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</si>
  <si>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</si>
  <si>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</si>
  <si>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</si>
  <si>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</si>
  <si>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</si>
  <si>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</si>
  <si>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</si>
  <si>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</si>
  <si>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</si>
  <si>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</si>
  <si>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</si>
  <si>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</si>
  <si>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</si>
  <si>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</si>
  <si>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</si>
  <si>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</si>
  <si>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</si>
  <si>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</si>
  <si>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</si>
  <si>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</si>
  <si>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</si>
  <si>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</si>
  <si>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</si>
  <si>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</si>
  <si>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</si>
  <si>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</si>
  <si>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</si>
  <si>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</si>
  <si>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</si>
  <si>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</si>
  <si>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</si>
  <si>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</si>
  <si>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</si>
  <si>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</si>
  <si>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</si>
  <si>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</si>
  <si>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</si>
  <si>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</si>
  <si>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</si>
  <si>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</si>
  <si>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</si>
  <si>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</si>
  <si>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</si>
  <si>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</si>
  <si>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</si>
  <si>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</si>
  <si>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</si>
  <si>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</si>
  <si>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</si>
  <si>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</si>
  <si>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</si>
  <si>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</si>
  <si>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</si>
  <si>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</si>
  <si>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</si>
  <si>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</si>
  <si>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</si>
  <si>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</si>
  <si>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</si>
  <si>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</si>
  <si>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</si>
  <si>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</si>
  <si>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</si>
  <si>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</si>
  <si>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</si>
  <si>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</si>
  <si>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</si>
  <si>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</si>
  <si>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</si>
  <si>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</si>
  <si>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</si>
  <si>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</si>
  <si>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</si>
  <si>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</si>
  <si>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</si>
  <si>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</si>
  <si>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</si>
  <si>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</si>
  <si>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</si>
  <si>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</si>
  <si>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</si>
  <si>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</si>
  <si>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</si>
  <si>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</si>
  <si>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</si>
  <si>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</si>
  <si>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</si>
  <si>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</si>
  <si>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</si>
  <si>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</si>
  <si>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</si>
  <si>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</si>
  <si>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</si>
  <si>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</si>
  <si>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</si>
  <si>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</si>
  <si>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</si>
  <si>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</si>
  <si>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</si>
  <si>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</si>
  <si>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</si>
  <si>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</si>
  <si>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</si>
  <si>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</si>
  <si>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</si>
  <si>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</si>
  <si>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Informação: É uma pergunta de negócio respondida através de algumasa análise de dado específica.</t>
  </si>
  <si>
    <t>Qual faturamento Total de vendas de Planos anuais (contendo todas as assinaturas agraegadas) ?</t>
  </si>
  <si>
    <t xml:space="preserve">Qual Faturamento Total de vendas de planos anuais, separado por auto renovação não e por auto renovação ? </t>
  </si>
  <si>
    <t>XBOX GAME PASS SUBSCRIPTIONS SALES</t>
  </si>
  <si>
    <t>Total de vendas de Assinaturas EA Play ?</t>
  </si>
  <si>
    <t>Soma de EA Play Season Pass</t>
  </si>
  <si>
    <t>Total de Vendas de Assinaturas do Minecraft Seasson Pass ?</t>
  </si>
  <si>
    <t>Soma de Minecraft Season Pass Price</t>
  </si>
  <si>
    <t>(Tudo)</t>
  </si>
  <si>
    <t>Contagem de Name</t>
  </si>
  <si>
    <t>Quais planos são mais propensos para uma autorenovação ?</t>
  </si>
  <si>
    <t>Quais planos estamos dando mais descontos em cupons ?</t>
  </si>
  <si>
    <t>Soma de Coupon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</si>
</sst>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8" borderId="0" xfId="3"/>
    <xf numFmtId="0" fontId="5" fillId="0" borderId="0" xfId="4"/>
    <xf numFmtId="0" fontId="5" fillId="0" borderId="0" xfId="4" applyAlignment="1">
      <alignment horizontal="left"/>
    </xf>
    <xf numFmtId="0" fontId="6" fillId="0" borderId="2" xfId="1" applyFont="1" applyBorder="1"/>
    <xf numFmtId="164" fontId="3" fillId="0" borderId="0" xfId="0" applyNumberFormat="1" applyFont="1"/>
    <xf numFmtId="164" fontId="3" fillId="0" borderId="0" xfId="2" applyNumberFormat="1" applyFont="1"/>
    <xf numFmtId="0" fontId="6" fillId="0" borderId="0" xfId="1" applyFont="1" applyBorder="1"/>
    <xf numFmtId="0" fontId="6" fillId="0" borderId="2" xfId="1" applyFont="1" applyBorder="1" applyAlignment="1">
      <alignment horizontal="left" indent="9"/>
    </xf>
  </cellXfs>
  <cellStyles count="5">
    <cellStyle name="Moeda" xfId="2" builtinId="4"/>
    <cellStyle name="Neutro" xfId="3" builtinId="28"/>
    <cellStyle name="Normal" xfId="0" builtinId="0"/>
    <cellStyle name="Texto Explicativo" xfId="4" builtinId="53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14D99DAB-BCF7-4550-8297-6C347DF805AD}">
      <tableStyleElement type="wholeTable" dxfId="15"/>
      <tableStyleElement type="headerRow" dxfId="14"/>
    </tableStyle>
  </tableStyles>
  <colors>
    <mruColors>
      <color rgb="FF22C55E"/>
      <color rgb="FFF7F8FC"/>
      <color rgb="FFE8E6E9"/>
      <color rgb="FF000000"/>
      <color rgb="FF5BF6A8"/>
      <color rgb="FF2AE6B1"/>
      <color rgb="FFE0E0E0"/>
      <color rgb="FFEDEDED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XBOX.xlsx]C̳álculos!tbl_EAseaseonanual_total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1515157317810058E-2"/>
          <c:y val="0.1386657049600746"/>
          <c:w val="0.96848484268218993"/>
          <c:h val="0.8338338579005654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C̳álculos!$C$9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C̳álculos!$B$10:$B$12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C̳álculos!$C$10:$C$12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A3-424F-9A7F-8AA4CB3F0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068529551"/>
        <c:axId val="1068536271"/>
      </c:barChart>
      <c:catAx>
        <c:axId val="1068529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9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8536271"/>
        <c:crosses val="autoZero"/>
        <c:auto val="1"/>
        <c:lblAlgn val="ctr"/>
        <c:lblOffset val="100"/>
        <c:noMultiLvlLbl val="0"/>
      </c:catAx>
      <c:valAx>
        <c:axId val="1068536271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6852955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XBOX.xlsx]C̳álculos!tbl_autorenewal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C̳álculos!$C$41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E0-4E1D-A94E-74265B7B36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E0-4E1D-A94E-74265B7B36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7E0-4E1D-A94E-74265B7B36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C̳álculos!$B$42:$B$45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C̳álculos!$C$42:$C$45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7E0-4E1D-A94E-74265B7B3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XBOX.xlsx]C̳álculos!tbl_descontos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198301734384956"/>
          <c:y val="7.407407407407407E-2"/>
          <c:w val="0.50536186104343295"/>
          <c:h val="0.8420450568678915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C̳álculos!$C$50</c:f>
              <c:strCache>
                <c:ptCount val="1"/>
                <c:pt idx="0">
                  <c:v>Soma de Coupon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C̳álculos!$B$51:$B$54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C̳álculos!$C$51:$C$54</c:f>
              <c:numCache>
                <c:formatCode>_("R$"* #,##0.00_);_("R$"* \(#,##0.00\);_("R$"* "-"??_);_(@_)</c:formatCode>
                <c:ptCount val="3"/>
                <c:pt idx="0">
                  <c:v>61</c:v>
                </c:pt>
                <c:pt idx="1">
                  <c:v>1079</c:v>
                </c:pt>
                <c:pt idx="2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7B-4BDE-8F92-4C96C6BD52BB}"/>
            </c:ext>
          </c:extLst>
        </c:ser>
        <c:ser>
          <c:idx val="1"/>
          <c:order val="1"/>
          <c:tx>
            <c:strRef>
              <c:f>C̳álculos!$D$50</c:f>
              <c:strCache>
                <c:ptCount val="1"/>
                <c:pt idx="0">
                  <c:v>Soma de Total 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C̳álculos!$B$51:$B$54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C̳álculos!$D$51:$D$54</c:f>
              <c:numCache>
                <c:formatCode>_("R$"* #,##0.00_);_("R$"* \(#,##0.00\);_("R$"* "-"??_);_(@_)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7B-4BDE-8F92-4C96C6BD5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01740047"/>
        <c:axId val="1101739087"/>
        <c:axId val="0"/>
      </c:bar3DChart>
      <c:catAx>
        <c:axId val="110174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1739087"/>
        <c:crosses val="autoZero"/>
        <c:auto val="1"/>
        <c:lblAlgn val="ctr"/>
        <c:lblOffset val="100"/>
        <c:noMultiLvlLbl val="0"/>
      </c:catAx>
      <c:valAx>
        <c:axId val="1101739087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10174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9180" y="5410199"/>
          <a:ext cx="1551381" cy="754381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108585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108585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11</xdr:row>
      <xdr:rowOff>0</xdr:rowOff>
    </xdr:from>
    <xdr:to>
      <xdr:col>12</xdr:col>
      <xdr:colOff>304800</xdr:colOff>
      <xdr:row>12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304800</xdr:colOff>
      <xdr:row>12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3810</xdr:colOff>
      <xdr:row>0</xdr:row>
      <xdr:rowOff>73041</xdr:rowOff>
    </xdr:from>
    <xdr:to>
      <xdr:col>2</xdr:col>
      <xdr:colOff>491284</xdr:colOff>
      <xdr:row>1</xdr:row>
      <xdr:rowOff>306706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509EB3B-42F4-4854-AF0F-7E9D0163DE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065" t="-9624" r="69039" b="-1177"/>
        <a:stretch>
          <a:fillRect/>
        </a:stretch>
      </xdr:blipFill>
      <xdr:spPr>
        <a:xfrm>
          <a:off x="2114550" y="59706"/>
          <a:ext cx="476044" cy="43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41909</xdr:rowOff>
    </xdr:from>
    <xdr:to>
      <xdr:col>0</xdr:col>
      <xdr:colOff>1863090</xdr:colOff>
      <xdr:row>18</xdr:row>
      <xdr:rowOff>118109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EF7B5F6A-F5FC-4768-9649-4E43A9A4D8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08709"/>
              <a:ext cx="1859280" cy="27470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224790</xdr:colOff>
      <xdr:row>4</xdr:row>
      <xdr:rowOff>112395</xdr:rowOff>
    </xdr:from>
    <xdr:to>
      <xdr:col>9</xdr:col>
      <xdr:colOff>491490</xdr:colOff>
      <xdr:row>11</xdr:row>
      <xdr:rowOff>156209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06143F50-8936-AB3F-D464-84EE9DAD81E9}"/>
            </a:ext>
          </a:extLst>
        </xdr:cNvPr>
        <xdr:cNvGrpSpPr/>
      </xdr:nvGrpSpPr>
      <xdr:grpSpPr>
        <a:xfrm>
          <a:off x="2091690" y="1179195"/>
          <a:ext cx="4772025" cy="1377314"/>
          <a:chOff x="2091690" y="1181100"/>
          <a:chExt cx="4768215" cy="1375058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9C81E232-F114-7759-280B-1CAFB36FC906}"/>
              </a:ext>
            </a:extLst>
          </xdr:cNvPr>
          <xdr:cNvSpPr/>
        </xdr:nvSpPr>
        <xdr:spPr>
          <a:xfrm>
            <a:off x="2091690" y="1186814"/>
            <a:ext cx="4768215" cy="112776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rgbClr val="22C55E"/>
              </a:solidFill>
            </a:endParaRPr>
          </a:p>
        </xdr:txBody>
      </xdr:sp>
      <xdr:sp macro="" textlink="C̳álculos!E23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FF81D4A5-9672-4494-B5F9-49E83624DDE3}"/>
              </a:ext>
            </a:extLst>
          </xdr:cNvPr>
          <xdr:cNvSpPr/>
        </xdr:nvSpPr>
        <xdr:spPr>
          <a:xfrm>
            <a:off x="3047003" y="1517653"/>
            <a:ext cx="3393614" cy="902396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ADAA79CE-9010-4760-9058-E82078979CF6}" type="TxLink">
              <a:rPr lang="en-US" sz="4000" b="1" i="0" u="none" strike="noStrike">
                <a:solidFill>
                  <a:srgbClr val="22C55E"/>
                </a:solidFill>
                <a:latin typeface="Aptos Narrow"/>
              </a:rPr>
              <a:pPr algn="ctr"/>
              <a:t>R$ 2.940,00</a:t>
            </a:fld>
            <a:endParaRPr lang="pt-BR" sz="400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F1367DD1-C3D4-4A8E-9712-DD892E68885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38453" y="1276446"/>
            <a:ext cx="1280837" cy="1279712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14C9D228-C8C9-E864-D95D-38D4E281E94F}"/>
              </a:ext>
            </a:extLst>
          </xdr:cNvPr>
          <xdr:cNvSpPr/>
        </xdr:nvSpPr>
        <xdr:spPr>
          <a:xfrm>
            <a:off x="2097410" y="1181100"/>
            <a:ext cx="4752961" cy="343400"/>
          </a:xfrm>
          <a:prstGeom prst="round2SameRect">
            <a:avLst>
              <a:gd name="adj1" fmla="val 50000"/>
              <a:gd name="adj2" fmla="val 5000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rgbClr val="22C55E"/>
                </a:solidFill>
              </a:rPr>
              <a:t>TOTAL</a:t>
            </a:r>
            <a:r>
              <a:rPr lang="pt-BR" sz="1100" b="1" baseline="0">
                <a:solidFill>
                  <a:srgbClr val="22C55E"/>
                </a:solidFill>
              </a:rPr>
              <a:t>  SUBSCRIPTIONS EA PLAY SEASON PASS</a:t>
            </a:r>
            <a:endParaRPr lang="pt-BR" sz="1100" b="1">
              <a:solidFill>
                <a:srgbClr val="22C55E"/>
              </a:solidFill>
            </a:endParaRPr>
          </a:p>
        </xdr:txBody>
      </xdr:sp>
    </xdr:grpSp>
    <xdr:clientData/>
  </xdr:twoCellAnchor>
  <xdr:twoCellAnchor>
    <xdr:from>
      <xdr:col>10</xdr:col>
      <xdr:colOff>72390</xdr:colOff>
      <xdr:row>4</xdr:row>
      <xdr:rowOff>107276</xdr:rowOff>
    </xdr:from>
    <xdr:to>
      <xdr:col>18</xdr:col>
      <xdr:colOff>95250</xdr:colOff>
      <xdr:row>11</xdr:row>
      <xdr:rowOff>41910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6AA6693E-BE96-FAC3-55DA-EE0DE045CF1F}"/>
            </a:ext>
          </a:extLst>
        </xdr:cNvPr>
        <xdr:cNvGrpSpPr/>
      </xdr:nvGrpSpPr>
      <xdr:grpSpPr>
        <a:xfrm>
          <a:off x="7054215" y="1175981"/>
          <a:ext cx="4732020" cy="1266229"/>
          <a:chOff x="7054215" y="1172171"/>
          <a:chExt cx="4830951" cy="1270039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70736851-51CD-E289-4942-63537EC6EA94}"/>
              </a:ext>
            </a:extLst>
          </xdr:cNvPr>
          <xdr:cNvSpPr/>
        </xdr:nvSpPr>
        <xdr:spPr>
          <a:xfrm>
            <a:off x="7054215" y="1185542"/>
            <a:ext cx="4813936" cy="1137574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4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076AA4A2-0E9C-A2FD-3B59-4B74999E02D8}"/>
              </a:ext>
            </a:extLst>
          </xdr:cNvPr>
          <xdr:cNvSpPr/>
        </xdr:nvSpPr>
        <xdr:spPr>
          <a:xfrm>
            <a:off x="8230168" y="1531192"/>
            <a:ext cx="3413313" cy="911018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E37FED13-2D78-4069-9423-6AD1F5BF365C}" type="TxLink">
              <a:rPr lang="en-US" sz="4000" b="1" i="0" u="none" strike="noStrike">
                <a:solidFill>
                  <a:srgbClr val="22C55E"/>
                </a:solidFill>
                <a:latin typeface="Aptos Narrow"/>
              </a:rPr>
              <a:pPr algn="ctr"/>
              <a:t>R$ 3.880,00</a:t>
            </a:fld>
            <a:endParaRPr lang="pt-BR" sz="16600">
              <a:solidFill>
                <a:srgbClr val="22C55E"/>
              </a:solidFill>
            </a:endParaRPr>
          </a:p>
        </xdr:txBody>
      </xdr:sp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9C6D8771-C3AA-3244-58A9-B109918B2743}"/>
              </a:ext>
            </a:extLst>
          </xdr:cNvPr>
          <xdr:cNvSpPr/>
        </xdr:nvSpPr>
        <xdr:spPr>
          <a:xfrm>
            <a:off x="7100033" y="1172171"/>
            <a:ext cx="4785133" cy="343323"/>
          </a:xfrm>
          <a:prstGeom prst="round2SameRect">
            <a:avLst>
              <a:gd name="adj1" fmla="val 50000"/>
              <a:gd name="adj2" fmla="val 5000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 SUBSCRIPTIONS MANE  SEASON PASS</a:t>
            </a:r>
            <a:endParaRPr lang="pt-BR" sz="1100" b="1"/>
          </a:p>
        </xdr:txBody>
      </xdr:sp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5931FFA1-73CF-F8D7-639D-59EE674367BA}"/>
              </a:ext>
            </a:extLst>
          </xdr:cNvPr>
          <xdr:cNvGrpSpPr/>
        </xdr:nvGrpSpPr>
        <xdr:grpSpPr>
          <a:xfrm>
            <a:off x="7276467" y="1592082"/>
            <a:ext cx="1351278" cy="568188"/>
            <a:chOff x="7315200" y="1586864"/>
            <a:chExt cx="1403986" cy="649606"/>
          </a:xfrm>
        </xdr:grpSpPr>
        <xdr:pic>
          <xdr:nvPicPr>
            <xdr:cNvPr id="21" name="Imagem 20">
              <a:extLst>
                <a:ext uri="{FF2B5EF4-FFF2-40B4-BE49-F238E27FC236}">
                  <a16:creationId xmlns:a16="http://schemas.microsoft.com/office/drawing/2014/main" id="{C5BF7661-A935-27B8-0C9C-BB916524865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750716" y="1586864"/>
              <a:ext cx="510227" cy="452545"/>
            </a:xfrm>
            <a:prstGeom prst="rect">
              <a:avLst/>
            </a:prstGeom>
          </xdr:spPr>
        </xdr:pic>
        <xdr:pic>
          <xdr:nvPicPr>
            <xdr:cNvPr id="22" name="Gráfico 21">
              <a:extLst>
                <a:ext uri="{FF2B5EF4-FFF2-40B4-BE49-F238E27FC236}">
                  <a16:creationId xmlns:a16="http://schemas.microsoft.com/office/drawing/2014/main" id="{7E82AFBE-C2A5-28A6-9AF0-183CAFC785A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7315200" y="2046328"/>
              <a:ext cx="1403986" cy="190142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224790</xdr:colOff>
      <xdr:row>11</xdr:row>
      <xdr:rowOff>148589</xdr:rowOff>
    </xdr:from>
    <xdr:to>
      <xdr:col>18</xdr:col>
      <xdr:colOff>146685</xdr:colOff>
      <xdr:row>27</xdr:row>
      <xdr:rowOff>3810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CE3F7553-5E1F-4BC6-F5B1-BD92912116D9}"/>
            </a:ext>
          </a:extLst>
        </xdr:cNvPr>
        <xdr:cNvGrpSpPr/>
      </xdr:nvGrpSpPr>
      <xdr:grpSpPr>
        <a:xfrm>
          <a:off x="2091690" y="2548889"/>
          <a:ext cx="9744075" cy="2903221"/>
          <a:chOff x="2099311" y="2583179"/>
          <a:chExt cx="9972674" cy="2907031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E4CCF946-B864-9796-BCDA-2758D0DFB172}"/>
              </a:ext>
            </a:extLst>
          </xdr:cNvPr>
          <xdr:cNvSpPr/>
        </xdr:nvSpPr>
        <xdr:spPr>
          <a:xfrm>
            <a:off x="2099311" y="2594600"/>
            <a:ext cx="9972674" cy="2895610"/>
          </a:xfrm>
          <a:prstGeom prst="roundRect">
            <a:avLst>
              <a:gd name="adj" fmla="val 8764"/>
            </a:avLst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C1E092C0-798E-492C-9AA8-07C8654A1DFB}"/>
              </a:ext>
            </a:extLst>
          </xdr:cNvPr>
          <xdr:cNvGraphicFramePr>
            <a:graphicFrameLocks/>
          </xdr:cNvGraphicFramePr>
        </xdr:nvGraphicFramePr>
        <xdr:xfrm>
          <a:off x="2295605" y="2732182"/>
          <a:ext cx="9540407" cy="274872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30" name="Retângulo: Cantos Superiores Arredondados 29">
            <a:extLst>
              <a:ext uri="{FF2B5EF4-FFF2-40B4-BE49-F238E27FC236}">
                <a16:creationId xmlns:a16="http://schemas.microsoft.com/office/drawing/2014/main" id="{A8F3935C-3C57-49A7-99C0-107E5915D4AE}"/>
              </a:ext>
            </a:extLst>
          </xdr:cNvPr>
          <xdr:cNvSpPr/>
        </xdr:nvSpPr>
        <xdr:spPr>
          <a:xfrm>
            <a:off x="2112847" y="2583179"/>
            <a:ext cx="9947710" cy="480691"/>
          </a:xfrm>
          <a:prstGeom prst="round2SameRect">
            <a:avLst>
              <a:gd name="adj1" fmla="val 50000"/>
              <a:gd name="adj2" fmla="val 38095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 SUBSCRIPTIONS XBOX GAME PASS</a:t>
            </a:r>
            <a:endParaRPr lang="pt-BR" sz="1100" b="1"/>
          </a:p>
        </xdr:txBody>
      </xdr:sp>
    </xdr:grpSp>
    <xdr:clientData/>
  </xdr:twoCellAnchor>
  <xdr:twoCellAnchor editAs="absolute">
    <xdr:from>
      <xdr:col>0</xdr:col>
      <xdr:colOff>453390</xdr:colOff>
      <xdr:row>0</xdr:row>
      <xdr:rowOff>112395</xdr:rowOff>
    </xdr:from>
    <xdr:to>
      <xdr:col>0</xdr:col>
      <xdr:colOff>1139190</xdr:colOff>
      <xdr:row>2</xdr:row>
      <xdr:rowOff>224790</xdr:rowOff>
    </xdr:to>
    <xdr:sp macro="" textlink="">
      <xdr:nvSpPr>
        <xdr:cNvPr id="34" name="Elipse 33">
          <a:extLst>
            <a:ext uri="{FF2B5EF4-FFF2-40B4-BE49-F238E27FC236}">
              <a16:creationId xmlns:a16="http://schemas.microsoft.com/office/drawing/2014/main" id="{F1252478-062E-4838-9335-5018AE50F073}"/>
            </a:ext>
          </a:extLst>
        </xdr:cNvPr>
        <xdr:cNvSpPr/>
      </xdr:nvSpPr>
      <xdr:spPr>
        <a:xfrm>
          <a:off x="438150" y="112395"/>
          <a:ext cx="681990" cy="63627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3810</xdr:colOff>
      <xdr:row>2</xdr:row>
      <xdr:rowOff>270509</xdr:rowOff>
    </xdr:from>
    <xdr:to>
      <xdr:col>0</xdr:col>
      <xdr:colOff>1604010</xdr:colOff>
      <xdr:row>3</xdr:row>
      <xdr:rowOff>156209</xdr:rowOff>
    </xdr:to>
    <xdr:sp macro="" textlink="">
      <xdr:nvSpPr>
        <xdr:cNvPr id="35" name="Retângulo: Cantos Superiores Arredondados 34">
          <a:extLst>
            <a:ext uri="{FF2B5EF4-FFF2-40B4-BE49-F238E27FC236}">
              <a16:creationId xmlns:a16="http://schemas.microsoft.com/office/drawing/2014/main" id="{C6B4C8D4-34AE-2461-149F-99A589150B77}"/>
            </a:ext>
          </a:extLst>
        </xdr:cNvPr>
        <xdr:cNvSpPr/>
      </xdr:nvSpPr>
      <xdr:spPr>
        <a:xfrm>
          <a:off x="3810" y="807719"/>
          <a:ext cx="1600200" cy="232410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Bem</a:t>
          </a:r>
          <a:r>
            <a:rPr lang="pt-BR" sz="1100" b="1" baseline="0"/>
            <a:t> Vinda,  Vanessa!</a:t>
          </a:r>
          <a:endParaRPr lang="pt-BR" sz="1100" b="1"/>
        </a:p>
      </xdr:txBody>
    </xdr:sp>
    <xdr:clientData/>
  </xdr:twoCellAnchor>
  <xdr:twoCellAnchor editAs="absolute">
    <xdr:from>
      <xdr:col>0</xdr:col>
      <xdr:colOff>1710690</xdr:colOff>
      <xdr:row>3</xdr:row>
      <xdr:rowOff>34290</xdr:rowOff>
    </xdr:from>
    <xdr:to>
      <xdr:col>10</xdr:col>
      <xdr:colOff>422910</xdr:colOff>
      <xdr:row>4</xdr:row>
      <xdr:rowOff>3810</xdr:rowOff>
    </xdr:to>
    <xdr:sp macro="" textlink="">
      <xdr:nvSpPr>
        <xdr:cNvPr id="37" name="Retângulo: Cantos Superiores Arredondados 36">
          <a:extLst>
            <a:ext uri="{FF2B5EF4-FFF2-40B4-BE49-F238E27FC236}">
              <a16:creationId xmlns:a16="http://schemas.microsoft.com/office/drawing/2014/main" id="{1C933AAD-2902-44EB-BE1C-211D26FF042F}"/>
            </a:ext>
          </a:extLst>
        </xdr:cNvPr>
        <xdr:cNvSpPr/>
      </xdr:nvSpPr>
      <xdr:spPr>
        <a:xfrm>
          <a:off x="1704975" y="908685"/>
          <a:ext cx="5709285" cy="171450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22C55E"/>
              </a:solidFill>
            </a:rPr>
            <a:t>Período de apuração:</a:t>
          </a:r>
          <a:r>
            <a:rPr lang="pt-BR" sz="1100" b="1" baseline="0">
              <a:solidFill>
                <a:srgbClr val="22C55E"/>
              </a:solidFill>
            </a:rPr>
            <a:t>  01/01/2024 - 31/12/2024 | Update date: 19/12/2025  12:30:00</a:t>
          </a:r>
          <a:endParaRPr lang="pt-BR" sz="1100" b="1">
            <a:solidFill>
              <a:srgbClr val="22C55E"/>
            </a:solidFill>
          </a:endParaRPr>
        </a:p>
      </xdr:txBody>
    </xdr:sp>
    <xdr:clientData/>
  </xdr:twoCellAnchor>
  <xdr:twoCellAnchor editAs="absolute">
    <xdr:from>
      <xdr:col>2</xdr:col>
      <xdr:colOff>34290</xdr:colOff>
      <xdr:row>28</xdr:row>
      <xdr:rowOff>2</xdr:rowOff>
    </xdr:from>
    <xdr:to>
      <xdr:col>9</xdr:col>
      <xdr:colOff>438150</xdr:colOff>
      <xdr:row>42</xdr:row>
      <xdr:rowOff>114300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CBA3CB90-8476-91DD-9F3B-9F8928E8049C}"/>
            </a:ext>
          </a:extLst>
        </xdr:cNvPr>
        <xdr:cNvGrpSpPr/>
      </xdr:nvGrpSpPr>
      <xdr:grpSpPr>
        <a:xfrm>
          <a:off x="2139315" y="5638802"/>
          <a:ext cx="4674870" cy="2781298"/>
          <a:chOff x="2133600" y="5636878"/>
          <a:chExt cx="5267325" cy="3091948"/>
        </a:xfrm>
      </xdr:grpSpPr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31733AA6-9B41-8BAB-A2FD-18A18828414B}"/>
              </a:ext>
            </a:extLst>
          </xdr:cNvPr>
          <xdr:cNvSpPr/>
        </xdr:nvSpPr>
        <xdr:spPr>
          <a:xfrm>
            <a:off x="2133600" y="5640687"/>
            <a:ext cx="5267325" cy="3006161"/>
          </a:xfrm>
          <a:prstGeom prst="roundRect">
            <a:avLst>
              <a:gd name="adj" fmla="val 877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E61C4492-486A-492E-ACDE-005AF49D1CF7}"/>
              </a:ext>
            </a:extLst>
          </xdr:cNvPr>
          <xdr:cNvGraphicFramePr>
            <a:graphicFrameLocks/>
          </xdr:cNvGraphicFramePr>
        </xdr:nvGraphicFramePr>
        <xdr:xfrm>
          <a:off x="2520156" y="5988864"/>
          <a:ext cx="4568191" cy="273996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CC3DED4D-8EAE-4ECA-9B9A-D25152C14E72}"/>
              </a:ext>
            </a:extLst>
          </xdr:cNvPr>
          <xdr:cNvSpPr/>
        </xdr:nvSpPr>
        <xdr:spPr>
          <a:xfrm>
            <a:off x="2137412" y="5636878"/>
            <a:ext cx="5257798" cy="346710"/>
          </a:xfrm>
          <a:prstGeom prst="round2SameRect">
            <a:avLst>
              <a:gd name="adj1" fmla="val 50000"/>
              <a:gd name="adj2" fmla="val 38095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 DE  AUTO RENEWAL POR  PLAN</a:t>
            </a:r>
          </a:p>
        </xdr:txBody>
      </xdr:sp>
    </xdr:grpSp>
    <xdr:clientData/>
  </xdr:twoCellAnchor>
  <xdr:twoCellAnchor editAs="oneCell">
    <xdr:from>
      <xdr:col>0</xdr:col>
      <xdr:colOff>0</xdr:colOff>
      <xdr:row>27</xdr:row>
      <xdr:rowOff>182880</xdr:rowOff>
    </xdr:from>
    <xdr:to>
      <xdr:col>0</xdr:col>
      <xdr:colOff>1824990</xdr:colOff>
      <xdr:row>41</xdr:row>
      <xdr:rowOff>186690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Auto Renewal 1">
              <a:extLst>
                <a:ext uri="{FF2B5EF4-FFF2-40B4-BE49-F238E27FC236}">
                  <a16:creationId xmlns:a16="http://schemas.microsoft.com/office/drawing/2014/main" id="{7E1E71A6-8D6A-42A4-8F43-5F10D5B70F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 Renewa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633085"/>
              <a:ext cx="1824990" cy="26689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10</xdr:col>
      <xdr:colOff>5715</xdr:colOff>
      <xdr:row>28</xdr:row>
      <xdr:rowOff>34289</xdr:rowOff>
    </xdr:from>
    <xdr:to>
      <xdr:col>18</xdr:col>
      <xdr:colOff>182880</xdr:colOff>
      <xdr:row>42</xdr:row>
      <xdr:rowOff>35375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902A8AF3-57E2-4489-3366-FECA97549196}"/>
            </a:ext>
          </a:extLst>
        </xdr:cNvPr>
        <xdr:cNvGrpSpPr/>
      </xdr:nvGrpSpPr>
      <xdr:grpSpPr>
        <a:xfrm>
          <a:off x="6985635" y="5673089"/>
          <a:ext cx="4886325" cy="2668086"/>
          <a:chOff x="7665652" y="5640705"/>
          <a:chExt cx="5328353" cy="3038582"/>
        </a:xfrm>
      </xdr:grpSpPr>
      <xdr:sp macro="" textlink="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8135CD74-E4A2-4BF2-9729-1CCC302D7366}"/>
              </a:ext>
            </a:extLst>
          </xdr:cNvPr>
          <xdr:cNvSpPr/>
        </xdr:nvSpPr>
        <xdr:spPr>
          <a:xfrm>
            <a:off x="7740015" y="5673090"/>
            <a:ext cx="5253990" cy="3006197"/>
          </a:xfrm>
          <a:prstGeom prst="roundRect">
            <a:avLst>
              <a:gd name="adj" fmla="val 877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20" name="Gráfico 19">
            <a:extLst>
              <a:ext uri="{FF2B5EF4-FFF2-40B4-BE49-F238E27FC236}">
                <a16:creationId xmlns:a16="http://schemas.microsoft.com/office/drawing/2014/main" id="{D3EB215C-CFA0-4861-8ACF-60C34867D22B}"/>
              </a:ext>
            </a:extLst>
          </xdr:cNvPr>
          <xdr:cNvGraphicFramePr>
            <a:graphicFrameLocks/>
          </xdr:cNvGraphicFramePr>
        </xdr:nvGraphicFramePr>
        <xdr:xfrm>
          <a:off x="7665652" y="5679698"/>
          <a:ext cx="5151536" cy="296363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25" name="Retângulo: Cantos Superiores Arredondados 24">
            <a:extLst>
              <a:ext uri="{FF2B5EF4-FFF2-40B4-BE49-F238E27FC236}">
                <a16:creationId xmlns:a16="http://schemas.microsoft.com/office/drawing/2014/main" id="{DC63DDBB-6A21-4096-9F5A-50110CA05F08}"/>
              </a:ext>
            </a:extLst>
          </xdr:cNvPr>
          <xdr:cNvSpPr/>
        </xdr:nvSpPr>
        <xdr:spPr>
          <a:xfrm>
            <a:off x="7734300" y="5640705"/>
            <a:ext cx="5257808" cy="350304"/>
          </a:xfrm>
          <a:prstGeom prst="round2SameRect">
            <a:avLst>
              <a:gd name="adj1" fmla="val 50000"/>
              <a:gd name="adj2" fmla="val 38095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DE  DESCONTOS EM CUPOM POR PLAN</a:t>
            </a:r>
            <a:endParaRPr lang="pt-BR" sz="1100" b="1"/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lton Santos" refreshedDate="46008.458951504632" createdVersion="8" refreshedVersion="8" minRefreshableVersion="3" recordCount="295" xr:uid="{B5A718E8-E990-4B81-9004-248E46DF477E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 count="11">
        <n v="5"/>
        <n v="0"/>
        <n v="10"/>
        <n v="3"/>
        <n v="1"/>
        <n v="2"/>
        <n v="15"/>
        <n v="20"/>
        <n v="8"/>
        <n v="12"/>
        <n v="7"/>
      </sharedItems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52270471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s v="Yes"/>
    <n v="20"/>
    <x v="0"/>
    <n v="60"/>
  </r>
  <r>
    <n v="3232"/>
    <x v="1"/>
    <x v="1"/>
    <d v="2024-01-15T00:00:00"/>
    <x v="1"/>
    <n v="5"/>
    <x v="1"/>
    <x v="1"/>
    <x v="1"/>
    <s v="No"/>
    <n v="0"/>
    <x v="1"/>
    <n v="5"/>
  </r>
  <r>
    <n v="3233"/>
    <x v="2"/>
    <x v="2"/>
    <d v="2024-02-10T00:00:00"/>
    <x v="0"/>
    <n v="10"/>
    <x v="2"/>
    <x v="1"/>
    <x v="1"/>
    <s v="Yes"/>
    <n v="20"/>
    <x v="2"/>
    <n v="20"/>
  </r>
  <r>
    <n v="3234"/>
    <x v="3"/>
    <x v="0"/>
    <d v="2024-02-20T00:00:00"/>
    <x v="1"/>
    <n v="15"/>
    <x v="0"/>
    <x v="0"/>
    <x v="0"/>
    <s v="Yes"/>
    <n v="20"/>
    <x v="3"/>
    <n v="62"/>
  </r>
  <r>
    <n v="3235"/>
    <x v="4"/>
    <x v="1"/>
    <d v="2024-03-05T00:00:00"/>
    <x v="0"/>
    <n v="5"/>
    <x v="0"/>
    <x v="1"/>
    <x v="1"/>
    <s v="No"/>
    <n v="0"/>
    <x v="4"/>
    <n v="4"/>
  </r>
  <r>
    <n v="3236"/>
    <x v="5"/>
    <x v="2"/>
    <d v="2024-03-02T00:00:00"/>
    <x v="1"/>
    <n v="10"/>
    <x v="0"/>
    <x v="1"/>
    <x v="1"/>
    <s v="Yes"/>
    <n v="20"/>
    <x v="5"/>
    <n v="28"/>
  </r>
  <r>
    <n v="3237"/>
    <x v="6"/>
    <x v="0"/>
    <d v="2024-03-03T00:00:00"/>
    <x v="0"/>
    <n v="15"/>
    <x v="2"/>
    <x v="0"/>
    <x v="0"/>
    <s v="Yes"/>
    <n v="20"/>
    <x v="2"/>
    <n v="55"/>
  </r>
  <r>
    <n v="3238"/>
    <x v="7"/>
    <x v="1"/>
    <d v="2024-03-04T00:00:00"/>
    <x v="0"/>
    <n v="5"/>
    <x v="1"/>
    <x v="1"/>
    <x v="1"/>
    <s v="No"/>
    <n v="0"/>
    <x v="1"/>
    <n v="5"/>
  </r>
  <r>
    <n v="3239"/>
    <x v="8"/>
    <x v="0"/>
    <d v="2024-03-05T00:00:00"/>
    <x v="1"/>
    <n v="15"/>
    <x v="0"/>
    <x v="0"/>
    <x v="0"/>
    <s v="Yes"/>
    <n v="20"/>
    <x v="0"/>
    <n v="60"/>
  </r>
  <r>
    <n v="3240"/>
    <x v="9"/>
    <x v="2"/>
    <d v="2024-03-06T00:00:00"/>
    <x v="0"/>
    <n v="10"/>
    <x v="2"/>
    <x v="1"/>
    <x v="1"/>
    <s v="Yes"/>
    <n v="20"/>
    <x v="6"/>
    <n v="15"/>
  </r>
  <r>
    <n v="3241"/>
    <x v="10"/>
    <x v="1"/>
    <d v="2024-03-07T00:00:00"/>
    <x v="1"/>
    <n v="5"/>
    <x v="0"/>
    <x v="1"/>
    <x v="1"/>
    <s v="No"/>
    <n v="0"/>
    <x v="4"/>
    <n v="4"/>
  </r>
  <r>
    <n v="3242"/>
    <x v="11"/>
    <x v="0"/>
    <d v="2024-03-08T00:00:00"/>
    <x v="0"/>
    <n v="15"/>
    <x v="1"/>
    <x v="0"/>
    <x v="0"/>
    <s v="Yes"/>
    <n v="20"/>
    <x v="7"/>
    <n v="45"/>
  </r>
  <r>
    <n v="3243"/>
    <x v="12"/>
    <x v="2"/>
    <d v="2024-03-09T00:00:00"/>
    <x v="1"/>
    <n v="10"/>
    <x v="0"/>
    <x v="1"/>
    <x v="1"/>
    <s v="Yes"/>
    <n v="20"/>
    <x v="2"/>
    <n v="20"/>
  </r>
  <r>
    <n v="3244"/>
    <x v="13"/>
    <x v="1"/>
    <d v="2024-03-10T00:00:00"/>
    <x v="0"/>
    <n v="5"/>
    <x v="2"/>
    <x v="1"/>
    <x v="1"/>
    <s v="No"/>
    <n v="0"/>
    <x v="1"/>
    <n v="5"/>
  </r>
  <r>
    <n v="3245"/>
    <x v="14"/>
    <x v="0"/>
    <d v="2024-03-11T00:00:00"/>
    <x v="1"/>
    <n v="15"/>
    <x v="0"/>
    <x v="0"/>
    <x v="0"/>
    <s v="Yes"/>
    <n v="20"/>
    <x v="8"/>
    <n v="57"/>
  </r>
  <r>
    <n v="3246"/>
    <x v="15"/>
    <x v="2"/>
    <d v="2024-03-12T00:00:00"/>
    <x v="0"/>
    <n v="10"/>
    <x v="1"/>
    <x v="1"/>
    <x v="1"/>
    <s v="Yes"/>
    <n v="20"/>
    <x v="9"/>
    <n v="18"/>
  </r>
  <r>
    <n v="3247"/>
    <x v="16"/>
    <x v="1"/>
    <d v="2024-03-13T00:00:00"/>
    <x v="1"/>
    <n v="5"/>
    <x v="0"/>
    <x v="1"/>
    <x v="1"/>
    <s v="No"/>
    <n v="0"/>
    <x v="5"/>
    <n v="3"/>
  </r>
  <r>
    <n v="3248"/>
    <x v="17"/>
    <x v="0"/>
    <d v="2024-03-14T00:00:00"/>
    <x v="0"/>
    <n v="15"/>
    <x v="2"/>
    <x v="0"/>
    <x v="0"/>
    <s v="Yes"/>
    <n v="20"/>
    <x v="10"/>
    <n v="58"/>
  </r>
  <r>
    <n v="3249"/>
    <x v="18"/>
    <x v="2"/>
    <d v="2024-03-15T00:00:00"/>
    <x v="1"/>
    <n v="10"/>
    <x v="0"/>
    <x v="1"/>
    <x v="1"/>
    <s v="Yes"/>
    <n v="20"/>
    <x v="0"/>
    <n v="25"/>
  </r>
  <r>
    <n v="3250"/>
    <x v="19"/>
    <x v="1"/>
    <d v="2024-03-16T00:00:00"/>
    <x v="0"/>
    <n v="5"/>
    <x v="1"/>
    <x v="1"/>
    <x v="1"/>
    <s v="No"/>
    <n v="0"/>
    <x v="1"/>
    <n v="5"/>
  </r>
  <r>
    <n v="3251"/>
    <x v="20"/>
    <x v="0"/>
    <d v="2024-03-17T00:00:00"/>
    <x v="1"/>
    <n v="15"/>
    <x v="0"/>
    <x v="0"/>
    <x v="0"/>
    <s v="Yes"/>
    <n v="20"/>
    <x v="3"/>
    <n v="62"/>
  </r>
  <r>
    <n v="3252"/>
    <x v="21"/>
    <x v="2"/>
    <d v="2024-03-18T00:00:00"/>
    <x v="0"/>
    <n v="10"/>
    <x v="2"/>
    <x v="1"/>
    <x v="1"/>
    <s v="Yes"/>
    <n v="20"/>
    <x v="6"/>
    <n v="15"/>
  </r>
  <r>
    <n v="3253"/>
    <x v="22"/>
    <x v="1"/>
    <d v="2024-03-19T00:00:00"/>
    <x v="1"/>
    <n v="5"/>
    <x v="0"/>
    <x v="1"/>
    <x v="1"/>
    <s v="No"/>
    <n v="0"/>
    <x v="4"/>
    <n v="4"/>
  </r>
  <r>
    <n v="3254"/>
    <x v="23"/>
    <x v="0"/>
    <d v="2024-03-20T00:00:00"/>
    <x v="0"/>
    <n v="15"/>
    <x v="1"/>
    <x v="0"/>
    <x v="0"/>
    <s v="Yes"/>
    <n v="20"/>
    <x v="7"/>
    <n v="45"/>
  </r>
  <r>
    <n v="3255"/>
    <x v="24"/>
    <x v="2"/>
    <d v="2024-03-21T00:00:00"/>
    <x v="1"/>
    <n v="10"/>
    <x v="0"/>
    <x v="1"/>
    <x v="1"/>
    <s v="Yes"/>
    <n v="20"/>
    <x v="2"/>
    <n v="20"/>
  </r>
  <r>
    <n v="3256"/>
    <x v="25"/>
    <x v="1"/>
    <d v="2024-03-22T00:00:00"/>
    <x v="0"/>
    <n v="5"/>
    <x v="2"/>
    <x v="1"/>
    <x v="1"/>
    <s v="No"/>
    <n v="0"/>
    <x v="1"/>
    <n v="5"/>
  </r>
  <r>
    <n v="3257"/>
    <x v="26"/>
    <x v="0"/>
    <d v="2024-03-23T00:00:00"/>
    <x v="1"/>
    <n v="15"/>
    <x v="0"/>
    <x v="0"/>
    <x v="0"/>
    <s v="Yes"/>
    <n v="20"/>
    <x v="0"/>
    <n v="60"/>
  </r>
  <r>
    <n v="3258"/>
    <x v="27"/>
    <x v="2"/>
    <d v="2024-03-24T00:00:00"/>
    <x v="0"/>
    <n v="10"/>
    <x v="1"/>
    <x v="1"/>
    <x v="1"/>
    <s v="Yes"/>
    <n v="20"/>
    <x v="6"/>
    <n v="15"/>
  </r>
  <r>
    <n v="3259"/>
    <x v="28"/>
    <x v="1"/>
    <d v="2024-03-25T00:00:00"/>
    <x v="1"/>
    <n v="5"/>
    <x v="0"/>
    <x v="1"/>
    <x v="1"/>
    <s v="No"/>
    <n v="0"/>
    <x v="4"/>
    <n v="4"/>
  </r>
  <r>
    <n v="3260"/>
    <x v="29"/>
    <x v="0"/>
    <d v="2024-03-26T00:00:00"/>
    <x v="0"/>
    <n v="15"/>
    <x v="2"/>
    <x v="0"/>
    <x v="0"/>
    <s v="Yes"/>
    <n v="20"/>
    <x v="10"/>
    <n v="58"/>
  </r>
  <r>
    <n v="3261"/>
    <x v="30"/>
    <x v="2"/>
    <d v="2024-03-27T00:00:00"/>
    <x v="1"/>
    <n v="10"/>
    <x v="0"/>
    <x v="1"/>
    <x v="1"/>
    <s v="Yes"/>
    <n v="20"/>
    <x v="2"/>
    <n v="20"/>
  </r>
  <r>
    <n v="3262"/>
    <x v="31"/>
    <x v="1"/>
    <d v="2024-03-28T00:00:00"/>
    <x v="0"/>
    <n v="5"/>
    <x v="1"/>
    <x v="1"/>
    <x v="1"/>
    <s v="No"/>
    <n v="0"/>
    <x v="1"/>
    <n v="5"/>
  </r>
  <r>
    <n v="3263"/>
    <x v="32"/>
    <x v="0"/>
    <d v="2024-03-29T00:00:00"/>
    <x v="1"/>
    <n v="15"/>
    <x v="0"/>
    <x v="0"/>
    <x v="0"/>
    <s v="Yes"/>
    <n v="20"/>
    <x v="3"/>
    <n v="62"/>
  </r>
  <r>
    <n v="3264"/>
    <x v="33"/>
    <x v="2"/>
    <d v="2024-03-30T00:00:00"/>
    <x v="0"/>
    <n v="10"/>
    <x v="2"/>
    <x v="1"/>
    <x v="1"/>
    <s v="Yes"/>
    <n v="20"/>
    <x v="6"/>
    <n v="15"/>
  </r>
  <r>
    <n v="3265"/>
    <x v="34"/>
    <x v="1"/>
    <d v="2024-03-31T00:00:00"/>
    <x v="1"/>
    <n v="5"/>
    <x v="0"/>
    <x v="1"/>
    <x v="1"/>
    <s v="No"/>
    <n v="0"/>
    <x v="4"/>
    <n v="4"/>
  </r>
  <r>
    <n v="3266"/>
    <x v="35"/>
    <x v="1"/>
    <d v="2024-04-01T00:00:00"/>
    <x v="0"/>
    <n v="5"/>
    <x v="0"/>
    <x v="1"/>
    <x v="1"/>
    <s v="No"/>
    <n v="0"/>
    <x v="1"/>
    <n v="5"/>
  </r>
  <r>
    <n v="3267"/>
    <x v="36"/>
    <x v="0"/>
    <d v="2024-04-02T00:00:00"/>
    <x v="1"/>
    <n v="15"/>
    <x v="2"/>
    <x v="0"/>
    <x v="0"/>
    <s v="Yes"/>
    <n v="20"/>
    <x v="10"/>
    <n v="58"/>
  </r>
  <r>
    <n v="3268"/>
    <x v="37"/>
    <x v="2"/>
    <d v="2024-04-03T00:00:00"/>
    <x v="0"/>
    <n v="10"/>
    <x v="1"/>
    <x v="1"/>
    <x v="1"/>
    <s v="Yes"/>
    <n v="20"/>
    <x v="2"/>
    <n v="20"/>
  </r>
  <r>
    <n v="3269"/>
    <x v="38"/>
    <x v="1"/>
    <d v="2024-04-04T00:00:00"/>
    <x v="1"/>
    <n v="5"/>
    <x v="2"/>
    <x v="1"/>
    <x v="1"/>
    <s v="No"/>
    <n v="0"/>
    <x v="4"/>
    <n v="4"/>
  </r>
  <r>
    <n v="3270"/>
    <x v="39"/>
    <x v="0"/>
    <d v="2024-04-05T00:00:00"/>
    <x v="0"/>
    <n v="15"/>
    <x v="0"/>
    <x v="0"/>
    <x v="0"/>
    <s v="Yes"/>
    <n v="20"/>
    <x v="6"/>
    <n v="50"/>
  </r>
  <r>
    <n v="3271"/>
    <x v="40"/>
    <x v="2"/>
    <d v="2024-04-06T00:00:00"/>
    <x v="1"/>
    <n v="10"/>
    <x v="0"/>
    <x v="1"/>
    <x v="1"/>
    <s v="Yes"/>
    <n v="20"/>
    <x v="0"/>
    <n v="25"/>
  </r>
  <r>
    <n v="3272"/>
    <x v="41"/>
    <x v="1"/>
    <d v="2024-04-07T00:00:00"/>
    <x v="0"/>
    <n v="5"/>
    <x v="1"/>
    <x v="1"/>
    <x v="1"/>
    <s v="No"/>
    <n v="0"/>
    <x v="1"/>
    <n v="5"/>
  </r>
  <r>
    <n v="3273"/>
    <x v="42"/>
    <x v="0"/>
    <d v="2024-04-08T00:00:00"/>
    <x v="1"/>
    <n v="15"/>
    <x v="2"/>
    <x v="0"/>
    <x v="0"/>
    <s v="Yes"/>
    <n v="20"/>
    <x v="7"/>
    <n v="45"/>
  </r>
  <r>
    <n v="3274"/>
    <x v="43"/>
    <x v="2"/>
    <d v="2024-04-09T00:00:00"/>
    <x v="0"/>
    <n v="10"/>
    <x v="2"/>
    <x v="1"/>
    <x v="1"/>
    <s v="Yes"/>
    <n v="20"/>
    <x v="9"/>
    <n v="18"/>
  </r>
  <r>
    <n v="3275"/>
    <x v="44"/>
    <x v="1"/>
    <d v="2024-04-10T00:00:00"/>
    <x v="1"/>
    <n v="5"/>
    <x v="0"/>
    <x v="1"/>
    <x v="1"/>
    <s v="No"/>
    <n v="0"/>
    <x v="5"/>
    <n v="3"/>
  </r>
  <r>
    <n v="3276"/>
    <x v="45"/>
    <x v="0"/>
    <d v="2024-04-11T00:00:00"/>
    <x v="0"/>
    <n v="15"/>
    <x v="1"/>
    <x v="0"/>
    <x v="0"/>
    <s v="Yes"/>
    <n v="20"/>
    <x v="0"/>
    <n v="60"/>
  </r>
  <r>
    <n v="3277"/>
    <x v="46"/>
    <x v="2"/>
    <d v="2024-04-12T00:00:00"/>
    <x v="1"/>
    <n v="10"/>
    <x v="0"/>
    <x v="1"/>
    <x v="1"/>
    <s v="Yes"/>
    <n v="20"/>
    <x v="2"/>
    <n v="20"/>
  </r>
  <r>
    <n v="3278"/>
    <x v="47"/>
    <x v="1"/>
    <d v="2024-04-13T00:00:00"/>
    <x v="0"/>
    <n v="5"/>
    <x v="2"/>
    <x v="1"/>
    <x v="1"/>
    <s v="No"/>
    <n v="0"/>
    <x v="1"/>
    <n v="5"/>
  </r>
  <r>
    <n v="3279"/>
    <x v="48"/>
    <x v="0"/>
    <d v="2024-04-14T00:00:00"/>
    <x v="1"/>
    <n v="15"/>
    <x v="0"/>
    <x v="0"/>
    <x v="0"/>
    <s v="Yes"/>
    <n v="20"/>
    <x v="3"/>
    <n v="62"/>
  </r>
  <r>
    <n v="3280"/>
    <x v="49"/>
    <x v="2"/>
    <d v="2024-04-15T00:00:00"/>
    <x v="0"/>
    <n v="10"/>
    <x v="1"/>
    <x v="1"/>
    <x v="1"/>
    <s v="Yes"/>
    <n v="20"/>
    <x v="6"/>
    <n v="15"/>
  </r>
  <r>
    <n v="3281"/>
    <x v="50"/>
    <x v="1"/>
    <d v="2024-04-16T00:00:00"/>
    <x v="1"/>
    <n v="5"/>
    <x v="0"/>
    <x v="1"/>
    <x v="1"/>
    <s v="No"/>
    <n v="0"/>
    <x v="4"/>
    <n v="4"/>
  </r>
  <r>
    <n v="3282"/>
    <x v="51"/>
    <x v="0"/>
    <d v="2024-04-17T00:00:00"/>
    <x v="0"/>
    <n v="15"/>
    <x v="2"/>
    <x v="0"/>
    <x v="0"/>
    <s v="Yes"/>
    <n v="20"/>
    <x v="10"/>
    <n v="58"/>
  </r>
  <r>
    <n v="3283"/>
    <x v="52"/>
    <x v="2"/>
    <d v="2024-04-18T00:00:00"/>
    <x v="1"/>
    <n v="10"/>
    <x v="0"/>
    <x v="1"/>
    <x v="1"/>
    <s v="Yes"/>
    <n v="20"/>
    <x v="2"/>
    <n v="20"/>
  </r>
  <r>
    <n v="3284"/>
    <x v="53"/>
    <x v="1"/>
    <d v="2024-04-19T00:00:00"/>
    <x v="0"/>
    <n v="5"/>
    <x v="1"/>
    <x v="1"/>
    <x v="1"/>
    <s v="No"/>
    <n v="0"/>
    <x v="1"/>
    <n v="5"/>
  </r>
  <r>
    <n v="3285"/>
    <x v="54"/>
    <x v="0"/>
    <d v="2024-04-20T00:00:00"/>
    <x v="1"/>
    <n v="15"/>
    <x v="0"/>
    <x v="0"/>
    <x v="0"/>
    <s v="Yes"/>
    <n v="20"/>
    <x v="7"/>
    <n v="45"/>
  </r>
  <r>
    <n v="3286"/>
    <x v="55"/>
    <x v="2"/>
    <d v="2024-04-21T00:00:00"/>
    <x v="0"/>
    <n v="10"/>
    <x v="2"/>
    <x v="1"/>
    <x v="1"/>
    <s v="Yes"/>
    <n v="20"/>
    <x v="6"/>
    <n v="15"/>
  </r>
  <r>
    <n v="3287"/>
    <x v="56"/>
    <x v="1"/>
    <d v="2024-04-22T00:00:00"/>
    <x v="1"/>
    <n v="5"/>
    <x v="0"/>
    <x v="1"/>
    <x v="1"/>
    <s v="No"/>
    <n v="0"/>
    <x v="4"/>
    <n v="4"/>
  </r>
  <r>
    <n v="3288"/>
    <x v="57"/>
    <x v="0"/>
    <d v="2024-04-23T00:00:00"/>
    <x v="0"/>
    <n v="15"/>
    <x v="1"/>
    <x v="0"/>
    <x v="0"/>
    <s v="Yes"/>
    <n v="20"/>
    <x v="3"/>
    <n v="62"/>
  </r>
  <r>
    <n v="3289"/>
    <x v="58"/>
    <x v="2"/>
    <d v="2024-04-24T00:00:00"/>
    <x v="1"/>
    <n v="10"/>
    <x v="0"/>
    <x v="1"/>
    <x v="1"/>
    <s v="Yes"/>
    <n v="20"/>
    <x v="2"/>
    <n v="20"/>
  </r>
  <r>
    <n v="3290"/>
    <x v="59"/>
    <x v="1"/>
    <d v="2024-04-25T00:00:00"/>
    <x v="0"/>
    <n v="5"/>
    <x v="2"/>
    <x v="1"/>
    <x v="1"/>
    <s v="No"/>
    <n v="0"/>
    <x v="1"/>
    <n v="5"/>
  </r>
  <r>
    <n v="3291"/>
    <x v="60"/>
    <x v="0"/>
    <d v="2024-04-26T00:00:00"/>
    <x v="1"/>
    <n v="15"/>
    <x v="0"/>
    <x v="0"/>
    <x v="0"/>
    <s v="Yes"/>
    <n v="20"/>
    <x v="0"/>
    <n v="60"/>
  </r>
  <r>
    <n v="3292"/>
    <x v="61"/>
    <x v="2"/>
    <d v="2024-04-27T00:00:00"/>
    <x v="0"/>
    <n v="10"/>
    <x v="1"/>
    <x v="1"/>
    <x v="1"/>
    <s v="Yes"/>
    <n v="20"/>
    <x v="6"/>
    <n v="15"/>
  </r>
  <r>
    <n v="3293"/>
    <x v="62"/>
    <x v="1"/>
    <d v="2024-04-28T00:00:00"/>
    <x v="1"/>
    <n v="5"/>
    <x v="0"/>
    <x v="1"/>
    <x v="1"/>
    <s v="No"/>
    <n v="0"/>
    <x v="4"/>
    <n v="4"/>
  </r>
  <r>
    <n v="3294"/>
    <x v="63"/>
    <x v="0"/>
    <d v="2024-04-29T00:00:00"/>
    <x v="0"/>
    <n v="15"/>
    <x v="2"/>
    <x v="0"/>
    <x v="0"/>
    <s v="Yes"/>
    <n v="20"/>
    <x v="7"/>
    <n v="45"/>
  </r>
  <r>
    <n v="3295"/>
    <x v="64"/>
    <x v="2"/>
    <d v="2024-04-30T00:00:00"/>
    <x v="1"/>
    <n v="10"/>
    <x v="0"/>
    <x v="1"/>
    <x v="1"/>
    <s v="Yes"/>
    <n v="20"/>
    <x v="0"/>
    <n v="25"/>
  </r>
  <r>
    <n v="3296"/>
    <x v="65"/>
    <x v="1"/>
    <d v="2024-05-01T00:00:00"/>
    <x v="1"/>
    <n v="5"/>
    <x v="0"/>
    <x v="1"/>
    <x v="1"/>
    <s v="No"/>
    <n v="0"/>
    <x v="1"/>
    <n v="5"/>
  </r>
  <r>
    <n v="3297"/>
    <x v="66"/>
    <x v="0"/>
    <d v="2024-05-02T00:00:00"/>
    <x v="0"/>
    <n v="15"/>
    <x v="2"/>
    <x v="0"/>
    <x v="0"/>
    <s v="Yes"/>
    <n v="20"/>
    <x v="10"/>
    <n v="58"/>
  </r>
  <r>
    <n v="3298"/>
    <x v="67"/>
    <x v="2"/>
    <d v="2024-05-03T00:00:00"/>
    <x v="1"/>
    <n v="10"/>
    <x v="1"/>
    <x v="1"/>
    <x v="1"/>
    <s v="Yes"/>
    <n v="20"/>
    <x v="2"/>
    <n v="20"/>
  </r>
  <r>
    <n v="3299"/>
    <x v="68"/>
    <x v="1"/>
    <d v="2024-05-04T00:00:00"/>
    <x v="0"/>
    <n v="5"/>
    <x v="2"/>
    <x v="1"/>
    <x v="1"/>
    <s v="No"/>
    <n v="0"/>
    <x v="4"/>
    <n v="4"/>
  </r>
  <r>
    <n v="3300"/>
    <x v="69"/>
    <x v="0"/>
    <d v="2024-05-05T00:00:00"/>
    <x v="1"/>
    <n v="15"/>
    <x v="0"/>
    <x v="0"/>
    <x v="0"/>
    <s v="Yes"/>
    <n v="20"/>
    <x v="6"/>
    <n v="50"/>
  </r>
  <r>
    <n v="3301"/>
    <x v="70"/>
    <x v="2"/>
    <d v="2024-05-06T00:00:00"/>
    <x v="0"/>
    <n v="10"/>
    <x v="0"/>
    <x v="1"/>
    <x v="1"/>
    <s v="Yes"/>
    <n v="20"/>
    <x v="0"/>
    <n v="25"/>
  </r>
  <r>
    <n v="3302"/>
    <x v="71"/>
    <x v="1"/>
    <d v="2024-05-07T00:00:00"/>
    <x v="1"/>
    <n v="5"/>
    <x v="1"/>
    <x v="1"/>
    <x v="1"/>
    <s v="No"/>
    <n v="0"/>
    <x v="1"/>
    <n v="5"/>
  </r>
  <r>
    <n v="3303"/>
    <x v="72"/>
    <x v="0"/>
    <d v="2024-05-08T00:00:00"/>
    <x v="0"/>
    <n v="15"/>
    <x v="2"/>
    <x v="0"/>
    <x v="0"/>
    <s v="Yes"/>
    <n v="20"/>
    <x v="7"/>
    <n v="45"/>
  </r>
  <r>
    <n v="3304"/>
    <x v="73"/>
    <x v="2"/>
    <d v="2024-05-09T00:00:00"/>
    <x v="1"/>
    <n v="10"/>
    <x v="2"/>
    <x v="1"/>
    <x v="1"/>
    <s v="Yes"/>
    <n v="20"/>
    <x v="9"/>
    <n v="18"/>
  </r>
  <r>
    <n v="3305"/>
    <x v="74"/>
    <x v="1"/>
    <d v="2024-05-10T00:00:00"/>
    <x v="0"/>
    <n v="5"/>
    <x v="0"/>
    <x v="1"/>
    <x v="1"/>
    <s v="No"/>
    <n v="0"/>
    <x v="5"/>
    <n v="3"/>
  </r>
  <r>
    <n v="3306"/>
    <x v="75"/>
    <x v="0"/>
    <d v="2024-05-11T00:00:00"/>
    <x v="1"/>
    <n v="15"/>
    <x v="1"/>
    <x v="0"/>
    <x v="0"/>
    <s v="Yes"/>
    <n v="20"/>
    <x v="0"/>
    <n v="60"/>
  </r>
  <r>
    <n v="3307"/>
    <x v="76"/>
    <x v="2"/>
    <d v="2024-05-12T00:00:00"/>
    <x v="0"/>
    <n v="10"/>
    <x v="0"/>
    <x v="1"/>
    <x v="1"/>
    <s v="Yes"/>
    <n v="20"/>
    <x v="2"/>
    <n v="20"/>
  </r>
  <r>
    <n v="3308"/>
    <x v="77"/>
    <x v="1"/>
    <d v="2024-05-13T00:00:00"/>
    <x v="1"/>
    <n v="5"/>
    <x v="2"/>
    <x v="1"/>
    <x v="1"/>
    <s v="No"/>
    <n v="0"/>
    <x v="1"/>
    <n v="5"/>
  </r>
  <r>
    <n v="3309"/>
    <x v="78"/>
    <x v="0"/>
    <d v="2024-05-14T00:00:00"/>
    <x v="0"/>
    <n v="15"/>
    <x v="0"/>
    <x v="0"/>
    <x v="0"/>
    <s v="Yes"/>
    <n v="20"/>
    <x v="3"/>
    <n v="62"/>
  </r>
  <r>
    <n v="3310"/>
    <x v="79"/>
    <x v="2"/>
    <d v="2024-05-15T00:00:00"/>
    <x v="1"/>
    <n v="10"/>
    <x v="1"/>
    <x v="1"/>
    <x v="1"/>
    <s v="Yes"/>
    <n v="20"/>
    <x v="6"/>
    <n v="15"/>
  </r>
  <r>
    <n v="3311"/>
    <x v="80"/>
    <x v="1"/>
    <d v="2024-05-16T00:00:00"/>
    <x v="0"/>
    <n v="5"/>
    <x v="0"/>
    <x v="1"/>
    <x v="1"/>
    <s v="No"/>
    <n v="0"/>
    <x v="4"/>
    <n v="4"/>
  </r>
  <r>
    <n v="3312"/>
    <x v="81"/>
    <x v="0"/>
    <d v="2024-05-17T00:00:00"/>
    <x v="1"/>
    <n v="15"/>
    <x v="2"/>
    <x v="0"/>
    <x v="0"/>
    <s v="Yes"/>
    <n v="20"/>
    <x v="10"/>
    <n v="58"/>
  </r>
  <r>
    <n v="3313"/>
    <x v="82"/>
    <x v="2"/>
    <d v="2024-05-18T00:00:00"/>
    <x v="0"/>
    <n v="10"/>
    <x v="0"/>
    <x v="1"/>
    <x v="1"/>
    <s v="Yes"/>
    <n v="20"/>
    <x v="2"/>
    <n v="20"/>
  </r>
  <r>
    <n v="3314"/>
    <x v="83"/>
    <x v="1"/>
    <d v="2024-05-19T00:00:00"/>
    <x v="1"/>
    <n v="5"/>
    <x v="1"/>
    <x v="1"/>
    <x v="1"/>
    <s v="No"/>
    <n v="0"/>
    <x v="1"/>
    <n v="5"/>
  </r>
  <r>
    <n v="3315"/>
    <x v="84"/>
    <x v="0"/>
    <d v="2024-05-20T00:00:00"/>
    <x v="0"/>
    <n v="15"/>
    <x v="0"/>
    <x v="0"/>
    <x v="0"/>
    <s v="Yes"/>
    <n v="20"/>
    <x v="7"/>
    <n v="45"/>
  </r>
  <r>
    <n v="3316"/>
    <x v="85"/>
    <x v="2"/>
    <d v="2024-05-21T00:00:00"/>
    <x v="1"/>
    <n v="10"/>
    <x v="2"/>
    <x v="1"/>
    <x v="1"/>
    <s v="Yes"/>
    <n v="20"/>
    <x v="6"/>
    <n v="15"/>
  </r>
  <r>
    <n v="3317"/>
    <x v="86"/>
    <x v="1"/>
    <d v="2024-05-22T00:00:00"/>
    <x v="0"/>
    <n v="5"/>
    <x v="0"/>
    <x v="1"/>
    <x v="1"/>
    <s v="No"/>
    <n v="0"/>
    <x v="4"/>
    <n v="4"/>
  </r>
  <r>
    <n v="3318"/>
    <x v="87"/>
    <x v="0"/>
    <d v="2024-05-23T00:00:00"/>
    <x v="1"/>
    <n v="15"/>
    <x v="1"/>
    <x v="0"/>
    <x v="0"/>
    <s v="Yes"/>
    <n v="20"/>
    <x v="3"/>
    <n v="62"/>
  </r>
  <r>
    <n v="3319"/>
    <x v="88"/>
    <x v="2"/>
    <d v="2024-05-24T00:00:00"/>
    <x v="0"/>
    <n v="10"/>
    <x v="0"/>
    <x v="1"/>
    <x v="1"/>
    <s v="Yes"/>
    <n v="20"/>
    <x v="2"/>
    <n v="20"/>
  </r>
  <r>
    <n v="3320"/>
    <x v="89"/>
    <x v="1"/>
    <d v="2024-05-25T00:00:00"/>
    <x v="1"/>
    <n v="5"/>
    <x v="2"/>
    <x v="1"/>
    <x v="1"/>
    <s v="No"/>
    <n v="0"/>
    <x v="1"/>
    <n v="5"/>
  </r>
  <r>
    <n v="3321"/>
    <x v="90"/>
    <x v="0"/>
    <d v="2024-05-26T00:00:00"/>
    <x v="0"/>
    <n v="15"/>
    <x v="0"/>
    <x v="0"/>
    <x v="0"/>
    <s v="Yes"/>
    <n v="20"/>
    <x v="0"/>
    <n v="60"/>
  </r>
  <r>
    <n v="3322"/>
    <x v="91"/>
    <x v="2"/>
    <d v="2024-05-27T00:00:00"/>
    <x v="1"/>
    <n v="10"/>
    <x v="1"/>
    <x v="1"/>
    <x v="1"/>
    <s v="Yes"/>
    <n v="20"/>
    <x v="6"/>
    <n v="15"/>
  </r>
  <r>
    <n v="3323"/>
    <x v="92"/>
    <x v="1"/>
    <d v="2024-05-28T00:00:00"/>
    <x v="0"/>
    <n v="5"/>
    <x v="0"/>
    <x v="1"/>
    <x v="1"/>
    <s v="No"/>
    <n v="0"/>
    <x v="4"/>
    <n v="4"/>
  </r>
  <r>
    <n v="3324"/>
    <x v="93"/>
    <x v="0"/>
    <d v="2024-05-29T00:00:00"/>
    <x v="1"/>
    <n v="15"/>
    <x v="2"/>
    <x v="0"/>
    <x v="0"/>
    <s v="Yes"/>
    <n v="20"/>
    <x v="7"/>
    <n v="45"/>
  </r>
  <r>
    <n v="3325"/>
    <x v="94"/>
    <x v="2"/>
    <d v="2024-05-30T00:00:00"/>
    <x v="0"/>
    <n v="10"/>
    <x v="2"/>
    <x v="1"/>
    <x v="1"/>
    <s v="Yes"/>
    <n v="20"/>
    <x v="6"/>
    <n v="15"/>
  </r>
  <r>
    <n v="3326"/>
    <x v="95"/>
    <x v="1"/>
    <d v="2024-05-31T00:00:00"/>
    <x v="1"/>
    <n v="5"/>
    <x v="1"/>
    <x v="1"/>
    <x v="1"/>
    <s v="No"/>
    <n v="0"/>
    <x v="1"/>
    <n v="5"/>
  </r>
  <r>
    <n v="3327"/>
    <x v="96"/>
    <x v="0"/>
    <d v="2024-06-01T00:00:00"/>
    <x v="0"/>
    <n v="15"/>
    <x v="0"/>
    <x v="0"/>
    <x v="0"/>
    <s v="Yes"/>
    <n v="20"/>
    <x v="10"/>
    <n v="58"/>
  </r>
  <r>
    <n v="3328"/>
    <x v="97"/>
    <x v="2"/>
    <d v="2024-06-02T00:00:00"/>
    <x v="1"/>
    <n v="10"/>
    <x v="1"/>
    <x v="1"/>
    <x v="1"/>
    <s v="Yes"/>
    <n v="20"/>
    <x v="2"/>
    <n v="20"/>
  </r>
  <r>
    <n v="3329"/>
    <x v="98"/>
    <x v="1"/>
    <d v="2024-06-03T00:00:00"/>
    <x v="0"/>
    <n v="5"/>
    <x v="2"/>
    <x v="1"/>
    <x v="1"/>
    <s v="No"/>
    <n v="0"/>
    <x v="4"/>
    <n v="4"/>
  </r>
  <r>
    <n v="3330"/>
    <x v="99"/>
    <x v="0"/>
    <d v="2024-06-04T00:00:00"/>
    <x v="1"/>
    <n v="15"/>
    <x v="0"/>
    <x v="0"/>
    <x v="0"/>
    <s v="Yes"/>
    <n v="20"/>
    <x v="6"/>
    <n v="50"/>
  </r>
  <r>
    <n v="3331"/>
    <x v="100"/>
    <x v="2"/>
    <d v="2024-06-05T00:00:00"/>
    <x v="0"/>
    <n v="10"/>
    <x v="0"/>
    <x v="1"/>
    <x v="1"/>
    <s v="Yes"/>
    <n v="20"/>
    <x v="0"/>
    <n v="25"/>
  </r>
  <r>
    <n v="3332"/>
    <x v="101"/>
    <x v="1"/>
    <d v="2024-06-06T00:00:00"/>
    <x v="1"/>
    <n v="5"/>
    <x v="1"/>
    <x v="1"/>
    <x v="1"/>
    <s v="No"/>
    <n v="0"/>
    <x v="1"/>
    <n v="5"/>
  </r>
  <r>
    <n v="3333"/>
    <x v="102"/>
    <x v="0"/>
    <d v="2024-06-07T00:00:00"/>
    <x v="0"/>
    <n v="15"/>
    <x v="2"/>
    <x v="0"/>
    <x v="0"/>
    <s v="Yes"/>
    <n v="20"/>
    <x v="7"/>
    <n v="45"/>
  </r>
  <r>
    <n v="3334"/>
    <x v="103"/>
    <x v="2"/>
    <d v="2024-06-08T00:00:00"/>
    <x v="1"/>
    <n v="10"/>
    <x v="2"/>
    <x v="1"/>
    <x v="1"/>
    <s v="Yes"/>
    <n v="20"/>
    <x v="9"/>
    <n v="18"/>
  </r>
  <r>
    <n v="3335"/>
    <x v="104"/>
    <x v="1"/>
    <d v="2024-06-09T00:00:00"/>
    <x v="0"/>
    <n v="5"/>
    <x v="0"/>
    <x v="1"/>
    <x v="1"/>
    <s v="No"/>
    <n v="0"/>
    <x v="5"/>
    <n v="3"/>
  </r>
  <r>
    <n v="3336"/>
    <x v="105"/>
    <x v="1"/>
    <d v="2024-06-10T00:00:00"/>
    <x v="0"/>
    <n v="5"/>
    <x v="0"/>
    <x v="1"/>
    <x v="1"/>
    <s v="No"/>
    <n v="0"/>
    <x v="1"/>
    <n v="5"/>
  </r>
  <r>
    <n v="3337"/>
    <x v="106"/>
    <x v="0"/>
    <d v="2024-06-11T00:00:00"/>
    <x v="1"/>
    <n v="15"/>
    <x v="2"/>
    <x v="0"/>
    <x v="0"/>
    <s v="Yes"/>
    <n v="20"/>
    <x v="10"/>
    <n v="58"/>
  </r>
  <r>
    <n v="3338"/>
    <x v="107"/>
    <x v="2"/>
    <d v="2024-06-12T00:00:00"/>
    <x v="0"/>
    <n v="10"/>
    <x v="1"/>
    <x v="1"/>
    <x v="1"/>
    <s v="Yes"/>
    <n v="20"/>
    <x v="2"/>
    <n v="20"/>
  </r>
  <r>
    <n v="3339"/>
    <x v="108"/>
    <x v="1"/>
    <d v="2024-06-13T00:00:00"/>
    <x v="1"/>
    <n v="5"/>
    <x v="2"/>
    <x v="1"/>
    <x v="1"/>
    <s v="No"/>
    <n v="0"/>
    <x v="4"/>
    <n v="4"/>
  </r>
  <r>
    <n v="3340"/>
    <x v="109"/>
    <x v="0"/>
    <d v="2024-06-14T00:00:00"/>
    <x v="0"/>
    <n v="15"/>
    <x v="0"/>
    <x v="0"/>
    <x v="0"/>
    <s v="Yes"/>
    <n v="20"/>
    <x v="6"/>
    <n v="50"/>
  </r>
  <r>
    <n v="3341"/>
    <x v="110"/>
    <x v="2"/>
    <d v="2024-06-15T00:00:00"/>
    <x v="1"/>
    <n v="10"/>
    <x v="0"/>
    <x v="1"/>
    <x v="1"/>
    <s v="Yes"/>
    <n v="20"/>
    <x v="0"/>
    <n v="25"/>
  </r>
  <r>
    <n v="3342"/>
    <x v="111"/>
    <x v="1"/>
    <d v="2024-06-16T00:00:00"/>
    <x v="0"/>
    <n v="5"/>
    <x v="1"/>
    <x v="1"/>
    <x v="1"/>
    <s v="No"/>
    <n v="0"/>
    <x v="1"/>
    <n v="5"/>
  </r>
  <r>
    <n v="3343"/>
    <x v="112"/>
    <x v="0"/>
    <d v="2024-06-17T00:00:00"/>
    <x v="1"/>
    <n v="15"/>
    <x v="2"/>
    <x v="0"/>
    <x v="0"/>
    <s v="Yes"/>
    <n v="20"/>
    <x v="7"/>
    <n v="45"/>
  </r>
  <r>
    <n v="3344"/>
    <x v="113"/>
    <x v="2"/>
    <d v="2024-06-18T00:00:00"/>
    <x v="0"/>
    <n v="10"/>
    <x v="2"/>
    <x v="1"/>
    <x v="1"/>
    <s v="Yes"/>
    <n v="20"/>
    <x v="9"/>
    <n v="18"/>
  </r>
  <r>
    <n v="3345"/>
    <x v="114"/>
    <x v="1"/>
    <d v="2024-06-19T00:00:00"/>
    <x v="1"/>
    <n v="5"/>
    <x v="0"/>
    <x v="1"/>
    <x v="1"/>
    <s v="No"/>
    <n v="0"/>
    <x v="5"/>
    <n v="3"/>
  </r>
  <r>
    <n v="3346"/>
    <x v="115"/>
    <x v="0"/>
    <d v="2024-06-20T00:00:00"/>
    <x v="0"/>
    <n v="15"/>
    <x v="1"/>
    <x v="0"/>
    <x v="0"/>
    <s v="Yes"/>
    <n v="20"/>
    <x v="0"/>
    <n v="60"/>
  </r>
  <r>
    <n v="3347"/>
    <x v="116"/>
    <x v="2"/>
    <d v="2024-06-21T00:00:00"/>
    <x v="1"/>
    <n v="10"/>
    <x v="0"/>
    <x v="1"/>
    <x v="1"/>
    <s v="Yes"/>
    <n v="20"/>
    <x v="2"/>
    <n v="20"/>
  </r>
  <r>
    <n v="3348"/>
    <x v="117"/>
    <x v="1"/>
    <d v="2024-06-22T00:00:00"/>
    <x v="0"/>
    <n v="5"/>
    <x v="2"/>
    <x v="1"/>
    <x v="1"/>
    <s v="No"/>
    <n v="0"/>
    <x v="1"/>
    <n v="5"/>
  </r>
  <r>
    <n v="3349"/>
    <x v="93"/>
    <x v="0"/>
    <d v="2024-06-23T00:00:00"/>
    <x v="1"/>
    <n v="15"/>
    <x v="0"/>
    <x v="0"/>
    <x v="0"/>
    <s v="Yes"/>
    <n v="20"/>
    <x v="3"/>
    <n v="62"/>
  </r>
  <r>
    <n v="3350"/>
    <x v="118"/>
    <x v="2"/>
    <d v="2024-06-24T00:00:00"/>
    <x v="0"/>
    <n v="10"/>
    <x v="1"/>
    <x v="1"/>
    <x v="1"/>
    <s v="Yes"/>
    <n v="20"/>
    <x v="6"/>
    <n v="15"/>
  </r>
  <r>
    <n v="3351"/>
    <x v="119"/>
    <x v="1"/>
    <d v="2024-06-25T00:00:00"/>
    <x v="1"/>
    <n v="5"/>
    <x v="0"/>
    <x v="1"/>
    <x v="1"/>
    <s v="No"/>
    <n v="0"/>
    <x v="4"/>
    <n v="4"/>
  </r>
  <r>
    <n v="3352"/>
    <x v="120"/>
    <x v="0"/>
    <d v="2024-06-26T00:00:00"/>
    <x v="0"/>
    <n v="15"/>
    <x v="2"/>
    <x v="0"/>
    <x v="0"/>
    <s v="Yes"/>
    <n v="20"/>
    <x v="10"/>
    <n v="58"/>
  </r>
  <r>
    <n v="3353"/>
    <x v="121"/>
    <x v="2"/>
    <d v="2024-06-27T00:00:00"/>
    <x v="1"/>
    <n v="10"/>
    <x v="0"/>
    <x v="1"/>
    <x v="1"/>
    <s v="Yes"/>
    <n v="20"/>
    <x v="2"/>
    <n v="20"/>
  </r>
  <r>
    <n v="3354"/>
    <x v="122"/>
    <x v="1"/>
    <d v="2024-06-28T00:00:00"/>
    <x v="0"/>
    <n v="5"/>
    <x v="1"/>
    <x v="1"/>
    <x v="1"/>
    <s v="No"/>
    <n v="0"/>
    <x v="1"/>
    <n v="5"/>
  </r>
  <r>
    <n v="3355"/>
    <x v="123"/>
    <x v="0"/>
    <d v="2024-06-29T00:00:00"/>
    <x v="1"/>
    <n v="15"/>
    <x v="0"/>
    <x v="0"/>
    <x v="0"/>
    <s v="Yes"/>
    <n v="20"/>
    <x v="7"/>
    <n v="45"/>
  </r>
  <r>
    <n v="3356"/>
    <x v="124"/>
    <x v="2"/>
    <d v="2024-06-30T00:00:00"/>
    <x v="0"/>
    <n v="10"/>
    <x v="2"/>
    <x v="1"/>
    <x v="1"/>
    <s v="Yes"/>
    <n v="20"/>
    <x v="6"/>
    <n v="15"/>
  </r>
  <r>
    <n v="3357"/>
    <x v="125"/>
    <x v="1"/>
    <d v="2024-07-01T00:00:00"/>
    <x v="1"/>
    <n v="5"/>
    <x v="0"/>
    <x v="1"/>
    <x v="1"/>
    <s v="No"/>
    <n v="0"/>
    <x v="4"/>
    <n v="4"/>
  </r>
  <r>
    <n v="3358"/>
    <x v="126"/>
    <x v="0"/>
    <d v="2024-07-02T00:00:00"/>
    <x v="0"/>
    <n v="15"/>
    <x v="1"/>
    <x v="0"/>
    <x v="0"/>
    <s v="Yes"/>
    <n v="20"/>
    <x v="3"/>
    <n v="62"/>
  </r>
  <r>
    <n v="3359"/>
    <x v="127"/>
    <x v="2"/>
    <d v="2024-07-03T00:00:00"/>
    <x v="1"/>
    <n v="10"/>
    <x v="0"/>
    <x v="1"/>
    <x v="1"/>
    <s v="Yes"/>
    <n v="20"/>
    <x v="2"/>
    <n v="20"/>
  </r>
  <r>
    <n v="3360"/>
    <x v="128"/>
    <x v="1"/>
    <d v="2024-07-04T00:00:00"/>
    <x v="0"/>
    <n v="5"/>
    <x v="2"/>
    <x v="1"/>
    <x v="1"/>
    <s v="No"/>
    <n v="0"/>
    <x v="1"/>
    <n v="5"/>
  </r>
  <r>
    <n v="3361"/>
    <x v="129"/>
    <x v="0"/>
    <d v="2024-07-05T00:00:00"/>
    <x v="1"/>
    <n v="15"/>
    <x v="0"/>
    <x v="0"/>
    <x v="0"/>
    <s v="Yes"/>
    <n v="20"/>
    <x v="6"/>
    <n v="50"/>
  </r>
  <r>
    <n v="3362"/>
    <x v="130"/>
    <x v="2"/>
    <d v="2024-07-06T00:00:00"/>
    <x v="0"/>
    <n v="10"/>
    <x v="1"/>
    <x v="1"/>
    <x v="1"/>
    <s v="Yes"/>
    <n v="20"/>
    <x v="6"/>
    <n v="15"/>
  </r>
  <r>
    <n v="3363"/>
    <x v="131"/>
    <x v="1"/>
    <d v="2024-07-07T00:00:00"/>
    <x v="1"/>
    <n v="5"/>
    <x v="0"/>
    <x v="1"/>
    <x v="1"/>
    <s v="No"/>
    <n v="0"/>
    <x v="4"/>
    <n v="4"/>
  </r>
  <r>
    <n v="3364"/>
    <x v="132"/>
    <x v="0"/>
    <d v="2024-07-08T00:00:00"/>
    <x v="0"/>
    <n v="15"/>
    <x v="2"/>
    <x v="0"/>
    <x v="0"/>
    <s v="Yes"/>
    <n v="20"/>
    <x v="10"/>
    <n v="58"/>
  </r>
  <r>
    <n v="3365"/>
    <x v="133"/>
    <x v="2"/>
    <d v="2024-07-09T00:00:00"/>
    <x v="1"/>
    <n v="10"/>
    <x v="0"/>
    <x v="1"/>
    <x v="1"/>
    <s v="Yes"/>
    <n v="20"/>
    <x v="2"/>
    <n v="20"/>
  </r>
  <r>
    <n v="3366"/>
    <x v="134"/>
    <x v="1"/>
    <d v="2024-07-10T00:00:00"/>
    <x v="0"/>
    <n v="5"/>
    <x v="0"/>
    <x v="1"/>
    <x v="1"/>
    <s v="No"/>
    <n v="0"/>
    <x v="1"/>
    <n v="5"/>
  </r>
  <r>
    <n v="3367"/>
    <x v="135"/>
    <x v="0"/>
    <d v="2024-07-11T00:00:00"/>
    <x v="1"/>
    <n v="15"/>
    <x v="2"/>
    <x v="0"/>
    <x v="0"/>
    <s v="Yes"/>
    <n v="20"/>
    <x v="10"/>
    <n v="58"/>
  </r>
  <r>
    <n v="3368"/>
    <x v="136"/>
    <x v="2"/>
    <d v="2024-07-12T00:00:00"/>
    <x v="0"/>
    <n v="10"/>
    <x v="1"/>
    <x v="1"/>
    <x v="1"/>
    <s v="Yes"/>
    <n v="20"/>
    <x v="2"/>
    <n v="20"/>
  </r>
  <r>
    <n v="3369"/>
    <x v="137"/>
    <x v="1"/>
    <d v="2024-07-13T00:00:00"/>
    <x v="1"/>
    <n v="5"/>
    <x v="2"/>
    <x v="1"/>
    <x v="1"/>
    <s v="No"/>
    <n v="0"/>
    <x v="4"/>
    <n v="4"/>
  </r>
  <r>
    <n v="3370"/>
    <x v="138"/>
    <x v="0"/>
    <d v="2024-07-14T00:00:00"/>
    <x v="0"/>
    <n v="15"/>
    <x v="0"/>
    <x v="0"/>
    <x v="0"/>
    <s v="Yes"/>
    <n v="20"/>
    <x v="6"/>
    <n v="50"/>
  </r>
  <r>
    <n v="3371"/>
    <x v="139"/>
    <x v="2"/>
    <d v="2024-07-15T00:00:00"/>
    <x v="1"/>
    <n v="10"/>
    <x v="0"/>
    <x v="1"/>
    <x v="1"/>
    <s v="Yes"/>
    <n v="20"/>
    <x v="0"/>
    <n v="25"/>
  </r>
  <r>
    <n v="3372"/>
    <x v="140"/>
    <x v="1"/>
    <d v="2024-07-16T00:00:00"/>
    <x v="0"/>
    <n v="5"/>
    <x v="1"/>
    <x v="1"/>
    <x v="1"/>
    <s v="No"/>
    <n v="0"/>
    <x v="1"/>
    <n v="5"/>
  </r>
  <r>
    <n v="3373"/>
    <x v="141"/>
    <x v="0"/>
    <d v="2024-07-17T00:00:00"/>
    <x v="1"/>
    <n v="15"/>
    <x v="2"/>
    <x v="0"/>
    <x v="0"/>
    <s v="Yes"/>
    <n v="20"/>
    <x v="7"/>
    <n v="45"/>
  </r>
  <r>
    <n v="3374"/>
    <x v="142"/>
    <x v="2"/>
    <d v="2024-07-18T00:00:00"/>
    <x v="0"/>
    <n v="10"/>
    <x v="2"/>
    <x v="1"/>
    <x v="1"/>
    <s v="Yes"/>
    <n v="20"/>
    <x v="9"/>
    <n v="18"/>
  </r>
  <r>
    <n v="3375"/>
    <x v="143"/>
    <x v="1"/>
    <d v="2024-07-19T00:00:00"/>
    <x v="1"/>
    <n v="5"/>
    <x v="0"/>
    <x v="1"/>
    <x v="1"/>
    <s v="No"/>
    <n v="0"/>
    <x v="5"/>
    <n v="3"/>
  </r>
  <r>
    <n v="3376"/>
    <x v="144"/>
    <x v="0"/>
    <d v="2024-07-20T00:00:00"/>
    <x v="0"/>
    <n v="15"/>
    <x v="1"/>
    <x v="0"/>
    <x v="0"/>
    <s v="Yes"/>
    <n v="20"/>
    <x v="0"/>
    <n v="60"/>
  </r>
  <r>
    <n v="3377"/>
    <x v="145"/>
    <x v="2"/>
    <d v="2024-07-21T00:00:00"/>
    <x v="1"/>
    <n v="10"/>
    <x v="0"/>
    <x v="1"/>
    <x v="1"/>
    <s v="Yes"/>
    <n v="20"/>
    <x v="2"/>
    <n v="20"/>
  </r>
  <r>
    <n v="3378"/>
    <x v="146"/>
    <x v="1"/>
    <d v="2024-07-22T00:00:00"/>
    <x v="0"/>
    <n v="5"/>
    <x v="2"/>
    <x v="1"/>
    <x v="1"/>
    <s v="No"/>
    <n v="0"/>
    <x v="1"/>
    <n v="5"/>
  </r>
  <r>
    <n v="3379"/>
    <x v="147"/>
    <x v="0"/>
    <d v="2024-07-23T00:00:00"/>
    <x v="1"/>
    <n v="15"/>
    <x v="0"/>
    <x v="0"/>
    <x v="0"/>
    <s v="Yes"/>
    <n v="20"/>
    <x v="3"/>
    <n v="62"/>
  </r>
  <r>
    <n v="3380"/>
    <x v="148"/>
    <x v="2"/>
    <d v="2024-07-24T00:00:00"/>
    <x v="0"/>
    <n v="10"/>
    <x v="1"/>
    <x v="1"/>
    <x v="1"/>
    <s v="Yes"/>
    <n v="20"/>
    <x v="6"/>
    <n v="15"/>
  </r>
  <r>
    <n v="3381"/>
    <x v="149"/>
    <x v="1"/>
    <d v="2024-07-25T00:00:00"/>
    <x v="1"/>
    <n v="5"/>
    <x v="0"/>
    <x v="1"/>
    <x v="1"/>
    <s v="No"/>
    <n v="0"/>
    <x v="4"/>
    <n v="4"/>
  </r>
  <r>
    <n v="3382"/>
    <x v="150"/>
    <x v="0"/>
    <d v="2024-07-26T00:00:00"/>
    <x v="0"/>
    <n v="15"/>
    <x v="2"/>
    <x v="0"/>
    <x v="0"/>
    <s v="Yes"/>
    <n v="20"/>
    <x v="10"/>
    <n v="58"/>
  </r>
  <r>
    <n v="3383"/>
    <x v="151"/>
    <x v="2"/>
    <d v="2024-07-27T00:00:00"/>
    <x v="1"/>
    <n v="10"/>
    <x v="0"/>
    <x v="1"/>
    <x v="1"/>
    <s v="Yes"/>
    <n v="20"/>
    <x v="2"/>
    <n v="20"/>
  </r>
  <r>
    <n v="3384"/>
    <x v="152"/>
    <x v="1"/>
    <d v="2024-07-28T00:00:00"/>
    <x v="0"/>
    <n v="5"/>
    <x v="1"/>
    <x v="1"/>
    <x v="1"/>
    <s v="No"/>
    <n v="0"/>
    <x v="1"/>
    <n v="5"/>
  </r>
  <r>
    <n v="3385"/>
    <x v="153"/>
    <x v="0"/>
    <d v="2024-07-29T00:00:00"/>
    <x v="1"/>
    <n v="15"/>
    <x v="0"/>
    <x v="0"/>
    <x v="0"/>
    <s v="Yes"/>
    <n v="20"/>
    <x v="7"/>
    <n v="45"/>
  </r>
  <r>
    <n v="3386"/>
    <x v="154"/>
    <x v="2"/>
    <d v="2024-07-30T00:00:00"/>
    <x v="0"/>
    <n v="10"/>
    <x v="2"/>
    <x v="1"/>
    <x v="1"/>
    <s v="Yes"/>
    <n v="20"/>
    <x v="6"/>
    <n v="15"/>
  </r>
  <r>
    <n v="3387"/>
    <x v="155"/>
    <x v="1"/>
    <d v="2024-07-31T00:00:00"/>
    <x v="1"/>
    <n v="5"/>
    <x v="0"/>
    <x v="1"/>
    <x v="1"/>
    <s v="No"/>
    <n v="0"/>
    <x v="4"/>
    <n v="4"/>
  </r>
  <r>
    <n v="3388"/>
    <x v="156"/>
    <x v="0"/>
    <d v="2024-08-01T00:00:00"/>
    <x v="0"/>
    <n v="15"/>
    <x v="1"/>
    <x v="0"/>
    <x v="0"/>
    <s v="Yes"/>
    <n v="20"/>
    <x v="3"/>
    <n v="62"/>
  </r>
  <r>
    <n v="3389"/>
    <x v="157"/>
    <x v="2"/>
    <d v="2024-08-02T00:00:00"/>
    <x v="1"/>
    <n v="10"/>
    <x v="0"/>
    <x v="1"/>
    <x v="1"/>
    <s v="Yes"/>
    <n v="20"/>
    <x v="2"/>
    <n v="20"/>
  </r>
  <r>
    <n v="3390"/>
    <x v="158"/>
    <x v="1"/>
    <d v="2024-08-03T00:00:00"/>
    <x v="0"/>
    <n v="5"/>
    <x v="2"/>
    <x v="1"/>
    <x v="1"/>
    <s v="No"/>
    <n v="0"/>
    <x v="1"/>
    <n v="5"/>
  </r>
  <r>
    <n v="3391"/>
    <x v="58"/>
    <x v="0"/>
    <d v="2024-08-04T00:00:00"/>
    <x v="1"/>
    <n v="15"/>
    <x v="0"/>
    <x v="0"/>
    <x v="0"/>
    <s v="Yes"/>
    <n v="20"/>
    <x v="6"/>
    <n v="50"/>
  </r>
  <r>
    <n v="3392"/>
    <x v="159"/>
    <x v="2"/>
    <d v="2024-08-05T00:00:00"/>
    <x v="0"/>
    <n v="10"/>
    <x v="1"/>
    <x v="1"/>
    <x v="1"/>
    <s v="Yes"/>
    <n v="20"/>
    <x v="6"/>
    <n v="15"/>
  </r>
  <r>
    <n v="3393"/>
    <x v="160"/>
    <x v="1"/>
    <d v="2024-08-06T00:00:00"/>
    <x v="1"/>
    <n v="5"/>
    <x v="0"/>
    <x v="1"/>
    <x v="1"/>
    <s v="No"/>
    <n v="0"/>
    <x v="4"/>
    <n v="4"/>
  </r>
  <r>
    <n v="3394"/>
    <x v="161"/>
    <x v="0"/>
    <d v="2024-08-07T00:00:00"/>
    <x v="0"/>
    <n v="15"/>
    <x v="2"/>
    <x v="0"/>
    <x v="0"/>
    <s v="Yes"/>
    <n v="20"/>
    <x v="10"/>
    <n v="58"/>
  </r>
  <r>
    <n v="3395"/>
    <x v="162"/>
    <x v="2"/>
    <d v="2024-08-08T00:00:00"/>
    <x v="1"/>
    <n v="10"/>
    <x v="0"/>
    <x v="1"/>
    <x v="1"/>
    <s v="Yes"/>
    <n v="20"/>
    <x v="2"/>
    <n v="20"/>
  </r>
  <r>
    <n v="3396"/>
    <x v="163"/>
    <x v="1"/>
    <d v="2024-08-09T00:00:00"/>
    <x v="0"/>
    <n v="5"/>
    <x v="1"/>
    <x v="1"/>
    <x v="1"/>
    <s v="No"/>
    <n v="0"/>
    <x v="1"/>
    <n v="5"/>
  </r>
  <r>
    <n v="3397"/>
    <x v="90"/>
    <x v="0"/>
    <d v="2024-08-10T00:00:00"/>
    <x v="1"/>
    <n v="15"/>
    <x v="0"/>
    <x v="0"/>
    <x v="0"/>
    <s v="Yes"/>
    <n v="20"/>
    <x v="7"/>
    <n v="45"/>
  </r>
  <r>
    <n v="3398"/>
    <x v="164"/>
    <x v="2"/>
    <d v="2024-08-11T00:00:00"/>
    <x v="0"/>
    <n v="10"/>
    <x v="2"/>
    <x v="1"/>
    <x v="1"/>
    <s v="Yes"/>
    <n v="20"/>
    <x v="6"/>
    <n v="15"/>
  </r>
  <r>
    <n v="3399"/>
    <x v="165"/>
    <x v="1"/>
    <d v="2024-08-12T00:00:00"/>
    <x v="1"/>
    <n v="5"/>
    <x v="0"/>
    <x v="1"/>
    <x v="1"/>
    <s v="No"/>
    <n v="0"/>
    <x v="4"/>
    <n v="4"/>
  </r>
  <r>
    <n v="3400"/>
    <x v="166"/>
    <x v="0"/>
    <d v="2024-08-13T00:00:00"/>
    <x v="0"/>
    <n v="15"/>
    <x v="1"/>
    <x v="0"/>
    <x v="0"/>
    <s v="Yes"/>
    <n v="20"/>
    <x v="0"/>
    <n v="60"/>
  </r>
  <r>
    <n v="3401"/>
    <x v="167"/>
    <x v="2"/>
    <d v="2024-08-14T00:00:00"/>
    <x v="1"/>
    <n v="10"/>
    <x v="0"/>
    <x v="1"/>
    <x v="1"/>
    <s v="Yes"/>
    <n v="20"/>
    <x v="2"/>
    <n v="20"/>
  </r>
  <r>
    <n v="3402"/>
    <x v="168"/>
    <x v="1"/>
    <d v="2024-08-15T00:00:00"/>
    <x v="0"/>
    <n v="5"/>
    <x v="2"/>
    <x v="1"/>
    <x v="1"/>
    <s v="No"/>
    <n v="0"/>
    <x v="1"/>
    <n v="5"/>
  </r>
  <r>
    <n v="3403"/>
    <x v="169"/>
    <x v="0"/>
    <d v="2024-08-16T00:00:00"/>
    <x v="1"/>
    <n v="15"/>
    <x v="0"/>
    <x v="0"/>
    <x v="0"/>
    <s v="Yes"/>
    <n v="20"/>
    <x v="3"/>
    <n v="62"/>
  </r>
  <r>
    <n v="3404"/>
    <x v="170"/>
    <x v="2"/>
    <d v="2024-08-17T00:00:00"/>
    <x v="0"/>
    <n v="10"/>
    <x v="1"/>
    <x v="1"/>
    <x v="1"/>
    <s v="Yes"/>
    <n v="20"/>
    <x v="6"/>
    <n v="15"/>
  </r>
  <r>
    <n v="3405"/>
    <x v="171"/>
    <x v="1"/>
    <d v="2024-08-18T00:00:00"/>
    <x v="1"/>
    <n v="5"/>
    <x v="0"/>
    <x v="1"/>
    <x v="1"/>
    <s v="No"/>
    <n v="0"/>
    <x v="4"/>
    <n v="4"/>
  </r>
  <r>
    <n v="3406"/>
    <x v="172"/>
    <x v="1"/>
    <d v="2024-08-19T00:00:00"/>
    <x v="0"/>
    <n v="5"/>
    <x v="0"/>
    <x v="1"/>
    <x v="1"/>
    <s v="No"/>
    <n v="0"/>
    <x v="1"/>
    <n v="5"/>
  </r>
  <r>
    <n v="3407"/>
    <x v="173"/>
    <x v="0"/>
    <d v="2024-08-20T00:00:00"/>
    <x v="1"/>
    <n v="15"/>
    <x v="2"/>
    <x v="0"/>
    <x v="0"/>
    <s v="Yes"/>
    <n v="20"/>
    <x v="10"/>
    <n v="58"/>
  </r>
  <r>
    <n v="3408"/>
    <x v="174"/>
    <x v="2"/>
    <d v="2024-08-21T00:00:00"/>
    <x v="0"/>
    <n v="10"/>
    <x v="1"/>
    <x v="1"/>
    <x v="1"/>
    <s v="Yes"/>
    <n v="20"/>
    <x v="2"/>
    <n v="20"/>
  </r>
  <r>
    <n v="3409"/>
    <x v="175"/>
    <x v="1"/>
    <d v="2024-08-22T00:00:00"/>
    <x v="1"/>
    <n v="5"/>
    <x v="2"/>
    <x v="1"/>
    <x v="1"/>
    <s v="No"/>
    <n v="0"/>
    <x v="4"/>
    <n v="4"/>
  </r>
  <r>
    <n v="3410"/>
    <x v="176"/>
    <x v="0"/>
    <d v="2024-08-23T00:00:00"/>
    <x v="0"/>
    <n v="15"/>
    <x v="0"/>
    <x v="0"/>
    <x v="0"/>
    <s v="Yes"/>
    <n v="20"/>
    <x v="6"/>
    <n v="50"/>
  </r>
  <r>
    <n v="3411"/>
    <x v="177"/>
    <x v="2"/>
    <d v="2024-08-24T00:00:00"/>
    <x v="1"/>
    <n v="10"/>
    <x v="0"/>
    <x v="1"/>
    <x v="1"/>
    <s v="Yes"/>
    <n v="20"/>
    <x v="0"/>
    <n v="25"/>
  </r>
  <r>
    <n v="3412"/>
    <x v="178"/>
    <x v="1"/>
    <d v="2024-08-25T00:00:00"/>
    <x v="0"/>
    <n v="5"/>
    <x v="1"/>
    <x v="1"/>
    <x v="1"/>
    <s v="No"/>
    <n v="0"/>
    <x v="1"/>
    <n v="5"/>
  </r>
  <r>
    <n v="3413"/>
    <x v="179"/>
    <x v="0"/>
    <d v="2024-08-26T00:00:00"/>
    <x v="1"/>
    <n v="15"/>
    <x v="2"/>
    <x v="0"/>
    <x v="0"/>
    <s v="Yes"/>
    <n v="20"/>
    <x v="7"/>
    <n v="45"/>
  </r>
  <r>
    <n v="3414"/>
    <x v="180"/>
    <x v="2"/>
    <d v="2024-08-27T00:00:00"/>
    <x v="0"/>
    <n v="10"/>
    <x v="2"/>
    <x v="1"/>
    <x v="1"/>
    <s v="Yes"/>
    <n v="20"/>
    <x v="9"/>
    <n v="18"/>
  </r>
  <r>
    <n v="3415"/>
    <x v="181"/>
    <x v="1"/>
    <d v="2024-08-28T00:00:00"/>
    <x v="1"/>
    <n v="5"/>
    <x v="0"/>
    <x v="1"/>
    <x v="1"/>
    <s v="No"/>
    <n v="0"/>
    <x v="5"/>
    <n v="3"/>
  </r>
  <r>
    <n v="3416"/>
    <x v="182"/>
    <x v="0"/>
    <d v="2024-08-29T00:00:00"/>
    <x v="0"/>
    <n v="15"/>
    <x v="1"/>
    <x v="0"/>
    <x v="0"/>
    <s v="Yes"/>
    <n v="20"/>
    <x v="0"/>
    <n v="60"/>
  </r>
  <r>
    <n v="3417"/>
    <x v="183"/>
    <x v="2"/>
    <d v="2024-08-30T00:00:00"/>
    <x v="1"/>
    <n v="10"/>
    <x v="0"/>
    <x v="1"/>
    <x v="1"/>
    <s v="Yes"/>
    <n v="20"/>
    <x v="2"/>
    <n v="20"/>
  </r>
  <r>
    <n v="3418"/>
    <x v="184"/>
    <x v="1"/>
    <d v="2024-08-31T00:00:00"/>
    <x v="0"/>
    <n v="5"/>
    <x v="2"/>
    <x v="1"/>
    <x v="1"/>
    <s v="No"/>
    <n v="0"/>
    <x v="1"/>
    <n v="5"/>
  </r>
  <r>
    <n v="3419"/>
    <x v="185"/>
    <x v="0"/>
    <d v="2024-09-01T00:00:00"/>
    <x v="1"/>
    <n v="15"/>
    <x v="0"/>
    <x v="0"/>
    <x v="0"/>
    <s v="Yes"/>
    <n v="20"/>
    <x v="3"/>
    <n v="62"/>
  </r>
  <r>
    <n v="3420"/>
    <x v="186"/>
    <x v="2"/>
    <d v="2024-09-02T00:00:00"/>
    <x v="0"/>
    <n v="10"/>
    <x v="1"/>
    <x v="1"/>
    <x v="1"/>
    <s v="Yes"/>
    <n v="20"/>
    <x v="6"/>
    <n v="15"/>
  </r>
  <r>
    <n v="3421"/>
    <x v="15"/>
    <x v="1"/>
    <d v="2024-09-03T00:00:00"/>
    <x v="1"/>
    <n v="5"/>
    <x v="0"/>
    <x v="1"/>
    <x v="1"/>
    <s v="No"/>
    <n v="0"/>
    <x v="4"/>
    <n v="4"/>
  </r>
  <r>
    <n v="3422"/>
    <x v="187"/>
    <x v="0"/>
    <d v="2024-09-04T00:00:00"/>
    <x v="0"/>
    <n v="15"/>
    <x v="2"/>
    <x v="0"/>
    <x v="0"/>
    <s v="Yes"/>
    <n v="20"/>
    <x v="10"/>
    <n v="58"/>
  </r>
  <r>
    <n v="3423"/>
    <x v="188"/>
    <x v="2"/>
    <d v="2024-09-05T00:00:00"/>
    <x v="1"/>
    <n v="10"/>
    <x v="0"/>
    <x v="1"/>
    <x v="1"/>
    <s v="Yes"/>
    <n v="20"/>
    <x v="2"/>
    <n v="20"/>
  </r>
  <r>
    <n v="3424"/>
    <x v="14"/>
    <x v="1"/>
    <d v="2024-09-06T00:00:00"/>
    <x v="0"/>
    <n v="5"/>
    <x v="1"/>
    <x v="1"/>
    <x v="1"/>
    <s v="No"/>
    <n v="0"/>
    <x v="1"/>
    <n v="5"/>
  </r>
  <r>
    <n v="3425"/>
    <x v="189"/>
    <x v="0"/>
    <d v="2024-09-07T00:00:00"/>
    <x v="1"/>
    <n v="15"/>
    <x v="0"/>
    <x v="0"/>
    <x v="0"/>
    <s v="Yes"/>
    <n v="20"/>
    <x v="7"/>
    <n v="45"/>
  </r>
  <r>
    <n v="3426"/>
    <x v="167"/>
    <x v="2"/>
    <d v="2024-09-08T00:00:00"/>
    <x v="0"/>
    <n v="10"/>
    <x v="2"/>
    <x v="1"/>
    <x v="1"/>
    <s v="Yes"/>
    <n v="20"/>
    <x v="6"/>
    <n v="15"/>
  </r>
  <r>
    <n v="3427"/>
    <x v="190"/>
    <x v="1"/>
    <d v="2024-09-09T00:00:00"/>
    <x v="1"/>
    <n v="5"/>
    <x v="0"/>
    <x v="1"/>
    <x v="1"/>
    <s v="No"/>
    <n v="0"/>
    <x v="4"/>
    <n v="4"/>
  </r>
  <r>
    <n v="3428"/>
    <x v="191"/>
    <x v="0"/>
    <d v="2024-09-10T00:00:00"/>
    <x v="0"/>
    <n v="15"/>
    <x v="1"/>
    <x v="0"/>
    <x v="0"/>
    <s v="Yes"/>
    <n v="20"/>
    <x v="3"/>
    <n v="62"/>
  </r>
  <r>
    <n v="3429"/>
    <x v="192"/>
    <x v="2"/>
    <d v="2024-09-11T00:00:00"/>
    <x v="1"/>
    <n v="10"/>
    <x v="0"/>
    <x v="1"/>
    <x v="1"/>
    <s v="Yes"/>
    <n v="20"/>
    <x v="2"/>
    <n v="20"/>
  </r>
  <r>
    <n v="3430"/>
    <x v="193"/>
    <x v="1"/>
    <d v="2024-09-12T00:00:00"/>
    <x v="0"/>
    <n v="5"/>
    <x v="2"/>
    <x v="1"/>
    <x v="1"/>
    <s v="No"/>
    <n v="0"/>
    <x v="1"/>
    <n v="5"/>
  </r>
  <r>
    <n v="3431"/>
    <x v="194"/>
    <x v="0"/>
    <d v="2024-09-13T00:00:00"/>
    <x v="1"/>
    <n v="15"/>
    <x v="0"/>
    <x v="0"/>
    <x v="0"/>
    <s v="Yes"/>
    <n v="20"/>
    <x v="6"/>
    <n v="50"/>
  </r>
  <r>
    <n v="3432"/>
    <x v="195"/>
    <x v="2"/>
    <d v="2024-09-14T00:00:00"/>
    <x v="0"/>
    <n v="10"/>
    <x v="1"/>
    <x v="1"/>
    <x v="1"/>
    <s v="Yes"/>
    <n v="20"/>
    <x v="6"/>
    <n v="15"/>
  </r>
  <r>
    <n v="3433"/>
    <x v="196"/>
    <x v="1"/>
    <d v="2024-09-15T00:00:00"/>
    <x v="1"/>
    <n v="5"/>
    <x v="0"/>
    <x v="1"/>
    <x v="1"/>
    <s v="No"/>
    <n v="0"/>
    <x v="4"/>
    <n v="4"/>
  </r>
  <r>
    <n v="3434"/>
    <x v="197"/>
    <x v="0"/>
    <d v="2024-09-16T00:00:00"/>
    <x v="0"/>
    <n v="15"/>
    <x v="2"/>
    <x v="0"/>
    <x v="0"/>
    <s v="Yes"/>
    <n v="20"/>
    <x v="10"/>
    <n v="58"/>
  </r>
  <r>
    <n v="3435"/>
    <x v="198"/>
    <x v="2"/>
    <d v="2024-09-17T00:00:00"/>
    <x v="1"/>
    <n v="10"/>
    <x v="0"/>
    <x v="1"/>
    <x v="1"/>
    <s v="Yes"/>
    <n v="20"/>
    <x v="2"/>
    <n v="20"/>
  </r>
  <r>
    <n v="3436"/>
    <x v="199"/>
    <x v="1"/>
    <d v="2024-09-18T00:00:00"/>
    <x v="0"/>
    <n v="5"/>
    <x v="0"/>
    <x v="1"/>
    <x v="1"/>
    <s v="No"/>
    <n v="0"/>
    <x v="1"/>
    <n v="5"/>
  </r>
  <r>
    <n v="3437"/>
    <x v="200"/>
    <x v="0"/>
    <d v="2024-09-19T00:00:00"/>
    <x v="1"/>
    <n v="15"/>
    <x v="2"/>
    <x v="0"/>
    <x v="0"/>
    <s v="Yes"/>
    <n v="20"/>
    <x v="10"/>
    <n v="58"/>
  </r>
  <r>
    <n v="3438"/>
    <x v="201"/>
    <x v="2"/>
    <d v="2024-09-20T00:00:00"/>
    <x v="0"/>
    <n v="10"/>
    <x v="1"/>
    <x v="1"/>
    <x v="1"/>
    <s v="Yes"/>
    <n v="20"/>
    <x v="2"/>
    <n v="20"/>
  </r>
  <r>
    <n v="3439"/>
    <x v="202"/>
    <x v="1"/>
    <d v="2024-09-21T00:00:00"/>
    <x v="1"/>
    <n v="5"/>
    <x v="2"/>
    <x v="1"/>
    <x v="1"/>
    <s v="No"/>
    <n v="0"/>
    <x v="4"/>
    <n v="4"/>
  </r>
  <r>
    <n v="3440"/>
    <x v="203"/>
    <x v="0"/>
    <d v="2024-09-22T00:00:00"/>
    <x v="0"/>
    <n v="15"/>
    <x v="0"/>
    <x v="0"/>
    <x v="0"/>
    <s v="Yes"/>
    <n v="20"/>
    <x v="6"/>
    <n v="50"/>
  </r>
  <r>
    <n v="3441"/>
    <x v="204"/>
    <x v="2"/>
    <d v="2024-09-23T00:00:00"/>
    <x v="1"/>
    <n v="10"/>
    <x v="0"/>
    <x v="1"/>
    <x v="1"/>
    <s v="Yes"/>
    <n v="20"/>
    <x v="0"/>
    <n v="25"/>
  </r>
  <r>
    <n v="3442"/>
    <x v="205"/>
    <x v="1"/>
    <d v="2024-09-24T00:00:00"/>
    <x v="0"/>
    <n v="5"/>
    <x v="1"/>
    <x v="1"/>
    <x v="1"/>
    <s v="No"/>
    <n v="0"/>
    <x v="1"/>
    <n v="5"/>
  </r>
  <r>
    <n v="3443"/>
    <x v="206"/>
    <x v="0"/>
    <d v="2024-09-25T00:00:00"/>
    <x v="1"/>
    <n v="15"/>
    <x v="2"/>
    <x v="0"/>
    <x v="0"/>
    <s v="Yes"/>
    <n v="20"/>
    <x v="7"/>
    <n v="45"/>
  </r>
  <r>
    <n v="3444"/>
    <x v="207"/>
    <x v="2"/>
    <d v="2024-09-26T00:00:00"/>
    <x v="0"/>
    <n v="10"/>
    <x v="2"/>
    <x v="1"/>
    <x v="1"/>
    <s v="Yes"/>
    <n v="20"/>
    <x v="9"/>
    <n v="18"/>
  </r>
  <r>
    <n v="3445"/>
    <x v="37"/>
    <x v="1"/>
    <d v="2024-09-27T00:00:00"/>
    <x v="1"/>
    <n v="5"/>
    <x v="0"/>
    <x v="1"/>
    <x v="1"/>
    <s v="No"/>
    <n v="0"/>
    <x v="5"/>
    <n v="3"/>
  </r>
  <r>
    <n v="3446"/>
    <x v="208"/>
    <x v="0"/>
    <d v="2024-09-28T00:00:00"/>
    <x v="0"/>
    <n v="15"/>
    <x v="1"/>
    <x v="0"/>
    <x v="0"/>
    <s v="Yes"/>
    <n v="20"/>
    <x v="0"/>
    <n v="60"/>
  </r>
  <r>
    <n v="3447"/>
    <x v="209"/>
    <x v="2"/>
    <d v="2024-09-29T00:00:00"/>
    <x v="1"/>
    <n v="10"/>
    <x v="0"/>
    <x v="1"/>
    <x v="1"/>
    <s v="Yes"/>
    <n v="20"/>
    <x v="2"/>
    <n v="20"/>
  </r>
  <r>
    <n v="3448"/>
    <x v="210"/>
    <x v="1"/>
    <d v="2024-09-30T00:00:00"/>
    <x v="0"/>
    <n v="5"/>
    <x v="2"/>
    <x v="1"/>
    <x v="1"/>
    <s v="No"/>
    <n v="0"/>
    <x v="1"/>
    <n v="5"/>
  </r>
  <r>
    <n v="3449"/>
    <x v="211"/>
    <x v="0"/>
    <d v="2024-10-01T00:00:00"/>
    <x v="1"/>
    <n v="15"/>
    <x v="0"/>
    <x v="0"/>
    <x v="0"/>
    <s v="Yes"/>
    <n v="20"/>
    <x v="3"/>
    <n v="62"/>
  </r>
  <r>
    <n v="3450"/>
    <x v="212"/>
    <x v="2"/>
    <d v="2024-10-02T00:00:00"/>
    <x v="0"/>
    <n v="10"/>
    <x v="1"/>
    <x v="1"/>
    <x v="1"/>
    <s v="Yes"/>
    <n v="20"/>
    <x v="6"/>
    <n v="15"/>
  </r>
  <r>
    <n v="3451"/>
    <x v="213"/>
    <x v="1"/>
    <d v="2024-10-03T00:00:00"/>
    <x v="1"/>
    <n v="5"/>
    <x v="0"/>
    <x v="1"/>
    <x v="1"/>
    <s v="No"/>
    <n v="0"/>
    <x v="4"/>
    <n v="4"/>
  </r>
  <r>
    <n v="3452"/>
    <x v="191"/>
    <x v="0"/>
    <d v="2024-10-04T00:00:00"/>
    <x v="0"/>
    <n v="15"/>
    <x v="2"/>
    <x v="0"/>
    <x v="0"/>
    <s v="Yes"/>
    <n v="20"/>
    <x v="10"/>
    <n v="58"/>
  </r>
  <r>
    <n v="3453"/>
    <x v="45"/>
    <x v="2"/>
    <d v="2024-10-05T00:00:00"/>
    <x v="1"/>
    <n v="10"/>
    <x v="0"/>
    <x v="1"/>
    <x v="1"/>
    <s v="Yes"/>
    <n v="20"/>
    <x v="2"/>
    <n v="20"/>
  </r>
  <r>
    <n v="3454"/>
    <x v="214"/>
    <x v="1"/>
    <d v="2024-10-06T00:00:00"/>
    <x v="0"/>
    <n v="5"/>
    <x v="1"/>
    <x v="1"/>
    <x v="1"/>
    <s v="No"/>
    <n v="0"/>
    <x v="1"/>
    <n v="5"/>
  </r>
  <r>
    <n v="3455"/>
    <x v="215"/>
    <x v="0"/>
    <d v="2024-10-07T00:00:00"/>
    <x v="1"/>
    <n v="15"/>
    <x v="0"/>
    <x v="0"/>
    <x v="0"/>
    <s v="Yes"/>
    <n v="20"/>
    <x v="7"/>
    <n v="45"/>
  </r>
  <r>
    <n v="3456"/>
    <x v="216"/>
    <x v="2"/>
    <d v="2024-10-08T00:00:00"/>
    <x v="0"/>
    <n v="10"/>
    <x v="2"/>
    <x v="1"/>
    <x v="1"/>
    <s v="Yes"/>
    <n v="20"/>
    <x v="6"/>
    <n v="15"/>
  </r>
  <r>
    <n v="3457"/>
    <x v="217"/>
    <x v="1"/>
    <d v="2024-10-09T00:00:00"/>
    <x v="1"/>
    <n v="5"/>
    <x v="0"/>
    <x v="1"/>
    <x v="1"/>
    <s v="No"/>
    <n v="0"/>
    <x v="4"/>
    <n v="4"/>
  </r>
  <r>
    <n v="3458"/>
    <x v="218"/>
    <x v="0"/>
    <d v="2024-10-10T00:00:00"/>
    <x v="0"/>
    <n v="15"/>
    <x v="1"/>
    <x v="0"/>
    <x v="0"/>
    <s v="Yes"/>
    <n v="20"/>
    <x v="3"/>
    <n v="62"/>
  </r>
  <r>
    <n v="3459"/>
    <x v="219"/>
    <x v="2"/>
    <d v="2024-10-11T00:00:00"/>
    <x v="1"/>
    <n v="10"/>
    <x v="0"/>
    <x v="1"/>
    <x v="1"/>
    <s v="Yes"/>
    <n v="20"/>
    <x v="2"/>
    <n v="20"/>
  </r>
  <r>
    <n v="3460"/>
    <x v="127"/>
    <x v="1"/>
    <d v="2024-10-12T00:00:00"/>
    <x v="0"/>
    <n v="5"/>
    <x v="2"/>
    <x v="1"/>
    <x v="1"/>
    <s v="No"/>
    <n v="0"/>
    <x v="1"/>
    <n v="5"/>
  </r>
  <r>
    <n v="3461"/>
    <x v="220"/>
    <x v="0"/>
    <d v="2024-10-13T00:00:00"/>
    <x v="1"/>
    <n v="15"/>
    <x v="0"/>
    <x v="0"/>
    <x v="0"/>
    <s v="Yes"/>
    <n v="20"/>
    <x v="6"/>
    <n v="50"/>
  </r>
  <r>
    <n v="3462"/>
    <x v="221"/>
    <x v="2"/>
    <d v="2024-10-14T00:00:00"/>
    <x v="0"/>
    <n v="10"/>
    <x v="1"/>
    <x v="1"/>
    <x v="1"/>
    <s v="Yes"/>
    <n v="20"/>
    <x v="6"/>
    <n v="15"/>
  </r>
  <r>
    <n v="3463"/>
    <x v="222"/>
    <x v="1"/>
    <d v="2024-10-15T00:00:00"/>
    <x v="1"/>
    <n v="5"/>
    <x v="0"/>
    <x v="1"/>
    <x v="1"/>
    <s v="No"/>
    <n v="0"/>
    <x v="4"/>
    <n v="4"/>
  </r>
  <r>
    <n v="3464"/>
    <x v="223"/>
    <x v="0"/>
    <d v="2024-10-16T00:00:00"/>
    <x v="0"/>
    <n v="15"/>
    <x v="2"/>
    <x v="0"/>
    <x v="0"/>
    <s v="Yes"/>
    <n v="20"/>
    <x v="10"/>
    <n v="58"/>
  </r>
  <r>
    <n v="3465"/>
    <x v="224"/>
    <x v="2"/>
    <d v="2024-10-17T00:00:00"/>
    <x v="1"/>
    <n v="10"/>
    <x v="0"/>
    <x v="1"/>
    <x v="1"/>
    <s v="Yes"/>
    <n v="20"/>
    <x v="2"/>
    <n v="20"/>
  </r>
  <r>
    <n v="3466"/>
    <x v="225"/>
    <x v="1"/>
    <d v="2024-10-18T00:00:00"/>
    <x v="0"/>
    <n v="5"/>
    <x v="1"/>
    <x v="1"/>
    <x v="1"/>
    <s v="No"/>
    <n v="0"/>
    <x v="1"/>
    <n v="5"/>
  </r>
  <r>
    <n v="3467"/>
    <x v="226"/>
    <x v="0"/>
    <d v="2024-10-19T00:00:00"/>
    <x v="1"/>
    <n v="15"/>
    <x v="0"/>
    <x v="0"/>
    <x v="0"/>
    <s v="Yes"/>
    <n v="20"/>
    <x v="6"/>
    <n v="50"/>
  </r>
  <r>
    <n v="3468"/>
    <x v="227"/>
    <x v="2"/>
    <d v="2024-10-20T00:00:00"/>
    <x v="0"/>
    <n v="10"/>
    <x v="2"/>
    <x v="1"/>
    <x v="1"/>
    <s v="Yes"/>
    <n v="20"/>
    <x v="9"/>
    <n v="18"/>
  </r>
  <r>
    <n v="3469"/>
    <x v="228"/>
    <x v="1"/>
    <d v="2024-10-21T00:00:00"/>
    <x v="1"/>
    <n v="5"/>
    <x v="0"/>
    <x v="1"/>
    <x v="1"/>
    <s v="No"/>
    <n v="0"/>
    <x v="5"/>
    <n v="3"/>
  </r>
  <r>
    <n v="3470"/>
    <x v="229"/>
    <x v="0"/>
    <d v="2024-10-22T00:00:00"/>
    <x v="0"/>
    <n v="15"/>
    <x v="1"/>
    <x v="0"/>
    <x v="0"/>
    <s v="Yes"/>
    <n v="20"/>
    <x v="0"/>
    <n v="60"/>
  </r>
  <r>
    <n v="3471"/>
    <x v="230"/>
    <x v="2"/>
    <d v="2024-10-23T00:00:00"/>
    <x v="1"/>
    <n v="10"/>
    <x v="0"/>
    <x v="1"/>
    <x v="1"/>
    <s v="Yes"/>
    <n v="20"/>
    <x v="2"/>
    <n v="20"/>
  </r>
  <r>
    <n v="3472"/>
    <x v="231"/>
    <x v="1"/>
    <d v="2024-10-24T00:00:00"/>
    <x v="0"/>
    <n v="5"/>
    <x v="2"/>
    <x v="1"/>
    <x v="1"/>
    <s v="No"/>
    <n v="0"/>
    <x v="1"/>
    <n v="5"/>
  </r>
  <r>
    <n v="3473"/>
    <x v="140"/>
    <x v="0"/>
    <d v="2024-10-25T00:00:00"/>
    <x v="1"/>
    <n v="15"/>
    <x v="0"/>
    <x v="0"/>
    <x v="0"/>
    <s v="Yes"/>
    <n v="20"/>
    <x v="3"/>
    <n v="62"/>
  </r>
  <r>
    <n v="3474"/>
    <x v="232"/>
    <x v="2"/>
    <d v="2024-10-26T00:00:00"/>
    <x v="0"/>
    <n v="10"/>
    <x v="1"/>
    <x v="1"/>
    <x v="1"/>
    <s v="Yes"/>
    <n v="20"/>
    <x v="6"/>
    <n v="15"/>
  </r>
  <r>
    <n v="3475"/>
    <x v="233"/>
    <x v="1"/>
    <d v="2024-10-27T00:00:00"/>
    <x v="1"/>
    <n v="5"/>
    <x v="0"/>
    <x v="1"/>
    <x v="1"/>
    <s v="No"/>
    <n v="0"/>
    <x v="4"/>
    <n v="4"/>
  </r>
  <r>
    <n v="3476"/>
    <x v="234"/>
    <x v="0"/>
    <d v="2024-10-28T00:00:00"/>
    <x v="0"/>
    <n v="15"/>
    <x v="2"/>
    <x v="0"/>
    <x v="0"/>
    <s v="Yes"/>
    <n v="20"/>
    <x v="10"/>
    <n v="58"/>
  </r>
  <r>
    <n v="3477"/>
    <x v="235"/>
    <x v="2"/>
    <d v="2024-10-29T00:00:00"/>
    <x v="1"/>
    <n v="10"/>
    <x v="0"/>
    <x v="1"/>
    <x v="1"/>
    <s v="Yes"/>
    <n v="20"/>
    <x v="2"/>
    <n v="20"/>
  </r>
  <r>
    <n v="3478"/>
    <x v="236"/>
    <x v="1"/>
    <d v="2024-10-30T00:00:00"/>
    <x v="0"/>
    <n v="5"/>
    <x v="1"/>
    <x v="1"/>
    <x v="1"/>
    <s v="No"/>
    <n v="0"/>
    <x v="1"/>
    <n v="5"/>
  </r>
  <r>
    <n v="3479"/>
    <x v="237"/>
    <x v="0"/>
    <d v="2024-10-31T00:00:00"/>
    <x v="1"/>
    <n v="15"/>
    <x v="0"/>
    <x v="0"/>
    <x v="0"/>
    <s v="Yes"/>
    <n v="20"/>
    <x v="7"/>
    <n v="45"/>
  </r>
  <r>
    <n v="3480"/>
    <x v="238"/>
    <x v="2"/>
    <d v="2024-11-01T00:00:00"/>
    <x v="0"/>
    <n v="10"/>
    <x v="2"/>
    <x v="1"/>
    <x v="1"/>
    <s v="Yes"/>
    <n v="20"/>
    <x v="6"/>
    <n v="15"/>
  </r>
  <r>
    <n v="3481"/>
    <x v="239"/>
    <x v="1"/>
    <d v="2024-11-02T00:00:00"/>
    <x v="1"/>
    <n v="5"/>
    <x v="0"/>
    <x v="1"/>
    <x v="1"/>
    <s v="No"/>
    <n v="0"/>
    <x v="4"/>
    <n v="4"/>
  </r>
  <r>
    <n v="3482"/>
    <x v="240"/>
    <x v="0"/>
    <d v="2024-11-03T00:00:00"/>
    <x v="0"/>
    <n v="15"/>
    <x v="1"/>
    <x v="0"/>
    <x v="0"/>
    <s v="Yes"/>
    <n v="20"/>
    <x v="3"/>
    <n v="62"/>
  </r>
  <r>
    <n v="3483"/>
    <x v="241"/>
    <x v="2"/>
    <d v="2024-11-04T00:00:00"/>
    <x v="1"/>
    <n v="10"/>
    <x v="0"/>
    <x v="1"/>
    <x v="1"/>
    <s v="Yes"/>
    <n v="20"/>
    <x v="2"/>
    <n v="20"/>
  </r>
  <r>
    <n v="3484"/>
    <x v="242"/>
    <x v="1"/>
    <d v="2024-11-05T00:00:00"/>
    <x v="0"/>
    <n v="5"/>
    <x v="2"/>
    <x v="1"/>
    <x v="1"/>
    <s v="No"/>
    <n v="0"/>
    <x v="1"/>
    <n v="5"/>
  </r>
  <r>
    <n v="3485"/>
    <x v="243"/>
    <x v="0"/>
    <d v="2024-11-06T00:00:00"/>
    <x v="1"/>
    <n v="15"/>
    <x v="0"/>
    <x v="0"/>
    <x v="0"/>
    <s v="Yes"/>
    <n v="20"/>
    <x v="6"/>
    <n v="50"/>
  </r>
  <r>
    <n v="3486"/>
    <x v="244"/>
    <x v="1"/>
    <d v="2024-11-07T00:00:00"/>
    <x v="0"/>
    <n v="5"/>
    <x v="0"/>
    <x v="1"/>
    <x v="1"/>
    <s v="No"/>
    <n v="0"/>
    <x v="1"/>
    <n v="5"/>
  </r>
  <r>
    <n v="3487"/>
    <x v="245"/>
    <x v="0"/>
    <d v="2024-11-08T00:00:00"/>
    <x v="1"/>
    <n v="15"/>
    <x v="2"/>
    <x v="0"/>
    <x v="0"/>
    <s v="Yes"/>
    <n v="20"/>
    <x v="10"/>
    <n v="58"/>
  </r>
  <r>
    <n v="3488"/>
    <x v="246"/>
    <x v="2"/>
    <d v="2024-11-09T00:00:00"/>
    <x v="0"/>
    <n v="10"/>
    <x v="1"/>
    <x v="1"/>
    <x v="1"/>
    <s v="Yes"/>
    <n v="20"/>
    <x v="2"/>
    <n v="20"/>
  </r>
  <r>
    <n v="3489"/>
    <x v="247"/>
    <x v="1"/>
    <d v="2024-11-10T00:00:00"/>
    <x v="1"/>
    <n v="5"/>
    <x v="2"/>
    <x v="1"/>
    <x v="1"/>
    <s v="No"/>
    <n v="0"/>
    <x v="4"/>
    <n v="4"/>
  </r>
  <r>
    <n v="3490"/>
    <x v="248"/>
    <x v="0"/>
    <d v="2024-11-11T00:00:00"/>
    <x v="0"/>
    <n v="15"/>
    <x v="0"/>
    <x v="0"/>
    <x v="0"/>
    <s v="Yes"/>
    <n v="20"/>
    <x v="6"/>
    <n v="50"/>
  </r>
  <r>
    <n v="3491"/>
    <x v="249"/>
    <x v="2"/>
    <d v="2024-11-12T00:00:00"/>
    <x v="1"/>
    <n v="10"/>
    <x v="0"/>
    <x v="1"/>
    <x v="1"/>
    <s v="Yes"/>
    <n v="20"/>
    <x v="0"/>
    <n v="25"/>
  </r>
  <r>
    <n v="3492"/>
    <x v="250"/>
    <x v="1"/>
    <d v="2024-11-13T00:00:00"/>
    <x v="0"/>
    <n v="5"/>
    <x v="1"/>
    <x v="1"/>
    <x v="1"/>
    <s v="No"/>
    <n v="0"/>
    <x v="1"/>
    <n v="5"/>
  </r>
  <r>
    <n v="3493"/>
    <x v="251"/>
    <x v="0"/>
    <d v="2024-11-14T00:00:00"/>
    <x v="1"/>
    <n v="15"/>
    <x v="2"/>
    <x v="0"/>
    <x v="0"/>
    <s v="Yes"/>
    <n v="20"/>
    <x v="7"/>
    <n v="45"/>
  </r>
  <r>
    <n v="3494"/>
    <x v="252"/>
    <x v="2"/>
    <d v="2024-11-15T00:00:00"/>
    <x v="0"/>
    <n v="10"/>
    <x v="2"/>
    <x v="1"/>
    <x v="1"/>
    <s v="Yes"/>
    <n v="20"/>
    <x v="9"/>
    <n v="18"/>
  </r>
  <r>
    <n v="3495"/>
    <x v="253"/>
    <x v="1"/>
    <d v="2024-11-16T00:00:00"/>
    <x v="1"/>
    <n v="5"/>
    <x v="0"/>
    <x v="1"/>
    <x v="1"/>
    <s v="No"/>
    <n v="0"/>
    <x v="5"/>
    <n v="3"/>
  </r>
  <r>
    <n v="3496"/>
    <x v="254"/>
    <x v="0"/>
    <d v="2024-11-17T00:00:00"/>
    <x v="0"/>
    <n v="15"/>
    <x v="1"/>
    <x v="0"/>
    <x v="0"/>
    <s v="Yes"/>
    <n v="20"/>
    <x v="0"/>
    <n v="60"/>
  </r>
  <r>
    <n v="3497"/>
    <x v="255"/>
    <x v="2"/>
    <d v="2024-11-18T00:00:00"/>
    <x v="1"/>
    <n v="10"/>
    <x v="0"/>
    <x v="1"/>
    <x v="1"/>
    <s v="Yes"/>
    <n v="20"/>
    <x v="2"/>
    <n v="20"/>
  </r>
  <r>
    <n v="3498"/>
    <x v="256"/>
    <x v="1"/>
    <d v="2024-11-19T00:00:00"/>
    <x v="0"/>
    <n v="5"/>
    <x v="2"/>
    <x v="1"/>
    <x v="1"/>
    <s v="No"/>
    <n v="0"/>
    <x v="1"/>
    <n v="5"/>
  </r>
  <r>
    <n v="3499"/>
    <x v="257"/>
    <x v="0"/>
    <d v="2024-11-20T00:00:00"/>
    <x v="1"/>
    <n v="15"/>
    <x v="0"/>
    <x v="0"/>
    <x v="0"/>
    <s v="Yes"/>
    <n v="20"/>
    <x v="3"/>
    <n v="62"/>
  </r>
  <r>
    <n v="3500"/>
    <x v="258"/>
    <x v="2"/>
    <d v="2024-11-21T00:00:00"/>
    <x v="0"/>
    <n v="10"/>
    <x v="1"/>
    <x v="1"/>
    <x v="1"/>
    <s v="Yes"/>
    <n v="20"/>
    <x v="6"/>
    <n v="15"/>
  </r>
  <r>
    <n v="3501"/>
    <x v="259"/>
    <x v="1"/>
    <d v="2024-11-22T00:00:00"/>
    <x v="1"/>
    <n v="5"/>
    <x v="0"/>
    <x v="1"/>
    <x v="1"/>
    <s v="No"/>
    <n v="0"/>
    <x v="4"/>
    <n v="4"/>
  </r>
  <r>
    <n v="3502"/>
    <x v="260"/>
    <x v="0"/>
    <d v="2024-11-23T00:00:00"/>
    <x v="0"/>
    <n v="15"/>
    <x v="2"/>
    <x v="0"/>
    <x v="0"/>
    <s v="Yes"/>
    <n v="20"/>
    <x v="10"/>
    <n v="58"/>
  </r>
  <r>
    <n v="3503"/>
    <x v="119"/>
    <x v="2"/>
    <d v="2024-11-24T00:00:00"/>
    <x v="1"/>
    <n v="10"/>
    <x v="0"/>
    <x v="1"/>
    <x v="1"/>
    <s v="Yes"/>
    <n v="20"/>
    <x v="2"/>
    <n v="20"/>
  </r>
  <r>
    <n v="3504"/>
    <x v="261"/>
    <x v="1"/>
    <d v="2024-11-25T00:00:00"/>
    <x v="0"/>
    <n v="5"/>
    <x v="1"/>
    <x v="1"/>
    <x v="1"/>
    <s v="No"/>
    <n v="0"/>
    <x v="1"/>
    <n v="5"/>
  </r>
  <r>
    <n v="3505"/>
    <x v="262"/>
    <x v="0"/>
    <d v="2024-11-26T00:00:00"/>
    <x v="1"/>
    <n v="15"/>
    <x v="0"/>
    <x v="0"/>
    <x v="0"/>
    <s v="Yes"/>
    <n v="20"/>
    <x v="7"/>
    <n v="45"/>
  </r>
  <r>
    <n v="3506"/>
    <x v="263"/>
    <x v="2"/>
    <d v="2024-11-27T00:00:00"/>
    <x v="0"/>
    <n v="10"/>
    <x v="2"/>
    <x v="1"/>
    <x v="1"/>
    <s v="Yes"/>
    <n v="20"/>
    <x v="6"/>
    <n v="15"/>
  </r>
  <r>
    <n v="3507"/>
    <x v="264"/>
    <x v="1"/>
    <d v="2024-11-28T00:00:00"/>
    <x v="1"/>
    <n v="5"/>
    <x v="0"/>
    <x v="1"/>
    <x v="1"/>
    <s v="No"/>
    <n v="0"/>
    <x v="4"/>
    <n v="4"/>
  </r>
  <r>
    <n v="3508"/>
    <x v="265"/>
    <x v="0"/>
    <d v="2024-11-29T00:00:00"/>
    <x v="0"/>
    <n v="15"/>
    <x v="1"/>
    <x v="0"/>
    <x v="0"/>
    <s v="Yes"/>
    <n v="20"/>
    <x v="3"/>
    <n v="62"/>
  </r>
  <r>
    <n v="3509"/>
    <x v="266"/>
    <x v="2"/>
    <d v="2024-11-30T00:00:00"/>
    <x v="1"/>
    <n v="10"/>
    <x v="0"/>
    <x v="1"/>
    <x v="1"/>
    <s v="Yes"/>
    <n v="20"/>
    <x v="2"/>
    <n v="20"/>
  </r>
  <r>
    <n v="3510"/>
    <x v="267"/>
    <x v="1"/>
    <d v="2024-12-01T00:00:00"/>
    <x v="0"/>
    <n v="5"/>
    <x v="2"/>
    <x v="1"/>
    <x v="1"/>
    <s v="No"/>
    <n v="0"/>
    <x v="1"/>
    <n v="5"/>
  </r>
  <r>
    <n v="3511"/>
    <x v="268"/>
    <x v="0"/>
    <d v="2024-12-02T00:00:00"/>
    <x v="1"/>
    <n v="15"/>
    <x v="0"/>
    <x v="0"/>
    <x v="0"/>
    <s v="Yes"/>
    <n v="20"/>
    <x v="6"/>
    <n v="50"/>
  </r>
  <r>
    <n v="3512"/>
    <x v="269"/>
    <x v="2"/>
    <d v="2024-12-03T00:00:00"/>
    <x v="0"/>
    <n v="10"/>
    <x v="1"/>
    <x v="1"/>
    <x v="1"/>
    <s v="Yes"/>
    <n v="20"/>
    <x v="6"/>
    <n v="15"/>
  </r>
  <r>
    <n v="3513"/>
    <x v="270"/>
    <x v="1"/>
    <d v="2024-12-04T00:00:00"/>
    <x v="1"/>
    <n v="5"/>
    <x v="0"/>
    <x v="1"/>
    <x v="1"/>
    <s v="No"/>
    <n v="0"/>
    <x v="4"/>
    <n v="4"/>
  </r>
  <r>
    <n v="3514"/>
    <x v="271"/>
    <x v="0"/>
    <d v="2024-12-05T00:00:00"/>
    <x v="0"/>
    <n v="15"/>
    <x v="2"/>
    <x v="0"/>
    <x v="0"/>
    <s v="Yes"/>
    <n v="20"/>
    <x v="10"/>
    <n v="58"/>
  </r>
  <r>
    <n v="3515"/>
    <x v="130"/>
    <x v="2"/>
    <d v="2024-12-06T00:00:00"/>
    <x v="1"/>
    <n v="10"/>
    <x v="0"/>
    <x v="1"/>
    <x v="1"/>
    <s v="Yes"/>
    <n v="20"/>
    <x v="2"/>
    <n v="20"/>
  </r>
  <r>
    <n v="3516"/>
    <x v="131"/>
    <x v="1"/>
    <d v="2024-12-07T00:00:00"/>
    <x v="0"/>
    <n v="5"/>
    <x v="1"/>
    <x v="1"/>
    <x v="1"/>
    <s v="No"/>
    <n v="0"/>
    <x v="1"/>
    <n v="5"/>
  </r>
  <r>
    <n v="3517"/>
    <x v="181"/>
    <x v="0"/>
    <d v="2024-12-08T00:00:00"/>
    <x v="1"/>
    <n v="15"/>
    <x v="0"/>
    <x v="0"/>
    <x v="0"/>
    <s v="Yes"/>
    <n v="20"/>
    <x v="7"/>
    <n v="45"/>
  </r>
  <r>
    <n v="3518"/>
    <x v="272"/>
    <x v="2"/>
    <d v="2024-12-09T00:00:00"/>
    <x v="0"/>
    <n v="10"/>
    <x v="2"/>
    <x v="1"/>
    <x v="1"/>
    <s v="Yes"/>
    <n v="20"/>
    <x v="9"/>
    <n v="18"/>
  </r>
  <r>
    <n v="3519"/>
    <x v="273"/>
    <x v="1"/>
    <d v="2024-12-10T00:00:00"/>
    <x v="1"/>
    <n v="5"/>
    <x v="0"/>
    <x v="1"/>
    <x v="1"/>
    <s v="No"/>
    <n v="0"/>
    <x v="5"/>
    <n v="3"/>
  </r>
  <r>
    <n v="3520"/>
    <x v="274"/>
    <x v="0"/>
    <d v="2024-12-11T00:00:00"/>
    <x v="0"/>
    <n v="15"/>
    <x v="1"/>
    <x v="0"/>
    <x v="0"/>
    <s v="Yes"/>
    <n v="20"/>
    <x v="0"/>
    <n v="60"/>
  </r>
  <r>
    <n v="3521"/>
    <x v="275"/>
    <x v="2"/>
    <d v="2024-12-12T00:00:00"/>
    <x v="1"/>
    <n v="10"/>
    <x v="0"/>
    <x v="1"/>
    <x v="1"/>
    <s v="Yes"/>
    <n v="20"/>
    <x v="2"/>
    <n v="20"/>
  </r>
  <r>
    <n v="3522"/>
    <x v="276"/>
    <x v="1"/>
    <d v="2024-12-13T00:00:00"/>
    <x v="0"/>
    <n v="5"/>
    <x v="2"/>
    <x v="1"/>
    <x v="1"/>
    <s v="No"/>
    <n v="0"/>
    <x v="1"/>
    <n v="5"/>
  </r>
  <r>
    <n v="3523"/>
    <x v="277"/>
    <x v="0"/>
    <d v="2024-12-14T00:00:00"/>
    <x v="1"/>
    <n v="15"/>
    <x v="0"/>
    <x v="0"/>
    <x v="0"/>
    <s v="Yes"/>
    <n v="20"/>
    <x v="3"/>
    <n v="62"/>
  </r>
  <r>
    <n v="3524"/>
    <x v="278"/>
    <x v="2"/>
    <d v="2024-12-15T00:00:00"/>
    <x v="0"/>
    <n v="10"/>
    <x v="1"/>
    <x v="1"/>
    <x v="1"/>
    <s v="Yes"/>
    <n v="20"/>
    <x v="6"/>
    <n v="15"/>
  </r>
  <r>
    <n v="3525"/>
    <x v="279"/>
    <x v="1"/>
    <d v="2024-12-16T00:00:00"/>
    <x v="1"/>
    <n v="5"/>
    <x v="0"/>
    <x v="1"/>
    <x v="1"/>
    <s v="No"/>
    <n v="0"/>
    <x v="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8EBEFB-F071-48F9-941D-AE97BBDD3AC2}" name="tbl_descont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50:D54" firstHeaderRow="0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/>
    <pivotField showAll="0"/>
    <pivotField showAll="0"/>
    <pivotField showAll="0"/>
    <pivotField numFmtId="44" showAll="0"/>
    <pivotField dataField="1" numFmtId="44" showAll="0" sumSubtotal="1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sum"/>
      </items>
    </pivotField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Coupon Value" fld="11" baseField="0" baseItem="0" numFmtId="44"/>
    <dataField name="Soma de Total Value" fld="12" baseField="0" baseItem="0" numFmtId="4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777AD6-905C-452E-BBDB-53842FCEEEAC}" name="tbl_autorenew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41:C45" firstHeaderRow="1" firstDataRow="1" firstDataCol="1" rowPageCount="1" colPageCount="1"/>
  <pivotFields count="13">
    <pivotField showAll="0"/>
    <pivotField dataField="1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axis="axisPage" multipleItemSelectionAllowed="1" showAll="0">
      <items count="3">
        <item x="1"/>
        <item x="0"/>
        <item t="default"/>
      </items>
    </pivotField>
    <pivotField numFmtId="44" showAll="0"/>
    <pivotField showAll="0"/>
    <pivotField showAll="0"/>
    <pivotField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4" hier="-1"/>
  </pageFields>
  <dataFields count="1">
    <dataField name="Contagem de Name" fld="1" subtotal="count" baseField="2" baseItem="0"/>
  </dataFields>
  <chartFormats count="4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52419E-FDE3-4E22-8B4A-0911B7F5EA0E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9:C2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F1291D-E367-4F09-8E06-D6E3247A7CF3}" name="tbl_EAseaseona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9:C1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341138-3AF8-4CDD-B9EC-B46DFC5B5BC7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30:C3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609EF572-8203-4EE8-8FDD-7ECC7F8CB823}" sourceName="Subscription Type">
  <pivotTables>
    <pivotTable tabId="3" name="tbl_EAseaseonanual_total"/>
    <pivotTable tabId="3" name="Tabela dinâmica2"/>
    <pivotTable tabId="3" name="Tabela dinâmica1"/>
  </pivotTables>
  <data>
    <tabular pivotCacheId="1522704711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uto_Renewal" xr10:uid="{0A1DFFB5-9C45-4B11-A21B-F8346B576250}" sourceName="Auto Renewal">
  <pivotTables>
    <pivotTable tabId="3" name="tbl_autorenewal"/>
  </pivotTables>
  <data>
    <tabular pivotCacheId="1522704711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EC364850-D65E-4FE3-83D8-94589B3DB149}" cache="SegmentaçãodeDados_Subscription_Type" caption="Subscription Type" style="SlicerStyleLight6 2" rowHeight="257175"/>
  <slicer name="Auto Renewal 1" xr10:uid="{22F3DC99-B6F8-4A76-A448-B96CF625C102}" cache="SegmentaçãodeDados_Auto_Renewal" caption="Auto Renewal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rgb="FFFFFF00"/>
  </sheetPr>
  <dimension ref="B3:P21"/>
  <sheetViews>
    <sheetView showGridLines="0" zoomScaleNormal="100" workbookViewId="0">
      <selection activeCell="O19" sqref="O19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rgb="FF0070C0"/>
  </sheetPr>
  <dimension ref="A1:M296"/>
  <sheetViews>
    <sheetView tabSelected="1" topLeftCell="D1" zoomScale="90" zoomScaleNormal="90" workbookViewId="0">
      <selection activeCell="O12" sqref="O12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rgb="FFFF0000"/>
  </sheetPr>
  <dimension ref="B2:E54"/>
  <sheetViews>
    <sheetView showGridLines="0" topLeftCell="A34" workbookViewId="0">
      <selection activeCell="D59" sqref="D59"/>
    </sheetView>
  </sheetViews>
  <sheetFormatPr defaultRowHeight="15" x14ac:dyDescent="0.25"/>
  <cols>
    <col min="1" max="1" width="6.140625" customWidth="1"/>
    <col min="2" max="2" width="18.42578125" bestFit="1" customWidth="1"/>
    <col min="3" max="3" width="22.140625" bestFit="1" customWidth="1"/>
    <col min="4" max="4" width="19.28515625" bestFit="1" customWidth="1"/>
    <col min="5" max="12" width="20.140625" bestFit="1" customWidth="1"/>
    <col min="13" max="13" width="12.140625" bestFit="1" customWidth="1"/>
    <col min="14" max="16" width="9.7109375" bestFit="1" customWidth="1"/>
    <col min="17" max="17" width="15.5703125" bestFit="1" customWidth="1"/>
    <col min="18" max="18" width="12.140625" bestFit="1" customWidth="1"/>
  </cols>
  <sheetData>
    <row r="2" spans="2:5" x14ac:dyDescent="0.25">
      <c r="B2" s="15" t="s">
        <v>316</v>
      </c>
      <c r="C2" s="15"/>
      <c r="D2" s="15"/>
      <c r="E2" s="15"/>
    </row>
    <row r="4" spans="2:5" x14ac:dyDescent="0.25">
      <c r="B4" s="16" t="s">
        <v>317</v>
      </c>
      <c r="C4" s="16"/>
      <c r="D4" s="16"/>
      <c r="E4" s="16"/>
    </row>
    <row r="5" spans="2:5" x14ac:dyDescent="0.25">
      <c r="B5" s="17" t="s">
        <v>318</v>
      </c>
      <c r="C5" s="16"/>
      <c r="D5" s="16"/>
      <c r="E5" s="16"/>
    </row>
    <row r="6" spans="2:5" x14ac:dyDescent="0.25">
      <c r="B6" s="17"/>
      <c r="C6" s="16"/>
      <c r="D6" s="16"/>
      <c r="E6" s="16"/>
    </row>
    <row r="7" spans="2:5" x14ac:dyDescent="0.25">
      <c r="B7" s="12" t="s">
        <v>16</v>
      </c>
      <c r="C7" t="s">
        <v>324</v>
      </c>
      <c r="D7" s="16"/>
      <c r="E7" s="16"/>
    </row>
    <row r="9" spans="2:5" x14ac:dyDescent="0.25">
      <c r="B9" s="12" t="s">
        <v>313</v>
      </c>
      <c r="C9" t="s">
        <v>315</v>
      </c>
    </row>
    <row r="10" spans="2:5" x14ac:dyDescent="0.25">
      <c r="B10" s="13" t="s">
        <v>23</v>
      </c>
      <c r="C10" s="14">
        <v>3847</v>
      </c>
    </row>
    <row r="11" spans="2:5" x14ac:dyDescent="0.25">
      <c r="B11" s="13" t="s">
        <v>19</v>
      </c>
      <c r="C11" s="14">
        <v>3786</v>
      </c>
    </row>
    <row r="12" spans="2:5" x14ac:dyDescent="0.25">
      <c r="B12" s="13" t="s">
        <v>314</v>
      </c>
      <c r="C12" s="14">
        <v>7633</v>
      </c>
      <c r="E12" s="20">
        <f>GETPIVOTDATA("Total Value",$B$9)</f>
        <v>7633</v>
      </c>
    </row>
    <row r="15" spans="2:5" x14ac:dyDescent="0.25">
      <c r="B15" s="17" t="s">
        <v>320</v>
      </c>
      <c r="C15" s="16"/>
    </row>
    <row r="16" spans="2:5" x14ac:dyDescent="0.25">
      <c r="B16" s="17"/>
    </row>
    <row r="17" spans="2:5" x14ac:dyDescent="0.25">
      <c r="B17" s="12" t="s">
        <v>16</v>
      </c>
      <c r="C17" t="s">
        <v>324</v>
      </c>
    </row>
    <row r="19" spans="2:5" x14ac:dyDescent="0.25">
      <c r="B19" s="12" t="s">
        <v>313</v>
      </c>
      <c r="C19" t="s">
        <v>321</v>
      </c>
    </row>
    <row r="20" spans="2:5" x14ac:dyDescent="0.25">
      <c r="B20" s="13" t="s">
        <v>22</v>
      </c>
      <c r="C20">
        <v>0</v>
      </c>
    </row>
    <row r="21" spans="2:5" x14ac:dyDescent="0.25">
      <c r="B21" s="13" t="s">
        <v>26</v>
      </c>
      <c r="C21">
        <v>0</v>
      </c>
    </row>
    <row r="22" spans="2:5" x14ac:dyDescent="0.25">
      <c r="B22" s="13" t="s">
        <v>18</v>
      </c>
      <c r="C22">
        <v>2940</v>
      </c>
    </row>
    <row r="23" spans="2:5" x14ac:dyDescent="0.25">
      <c r="B23" s="13" t="s">
        <v>314</v>
      </c>
      <c r="C23">
        <v>2940</v>
      </c>
      <c r="E23" s="19">
        <f>GETPIVOTDATA("EA Play Season Pass
Price",$B$19)</f>
        <v>2940</v>
      </c>
    </row>
    <row r="26" spans="2:5" x14ac:dyDescent="0.25">
      <c r="B26" s="17" t="s">
        <v>322</v>
      </c>
      <c r="C26" s="16"/>
      <c r="D26" s="17"/>
    </row>
    <row r="28" spans="2:5" x14ac:dyDescent="0.25">
      <c r="B28" s="12" t="s">
        <v>16</v>
      </c>
      <c r="C28" t="s">
        <v>324</v>
      </c>
    </row>
    <row r="30" spans="2:5" x14ac:dyDescent="0.25">
      <c r="B30" s="12" t="s">
        <v>313</v>
      </c>
      <c r="C30" t="s">
        <v>323</v>
      </c>
    </row>
    <row r="31" spans="2:5" x14ac:dyDescent="0.25">
      <c r="B31" s="13" t="s">
        <v>22</v>
      </c>
      <c r="C31" s="14">
        <v>0</v>
      </c>
    </row>
    <row r="32" spans="2:5" x14ac:dyDescent="0.25">
      <c r="B32" s="13" t="s">
        <v>26</v>
      </c>
      <c r="C32" s="14">
        <v>1920</v>
      </c>
    </row>
    <row r="33" spans="2:5" x14ac:dyDescent="0.25">
      <c r="B33" s="13" t="s">
        <v>18</v>
      </c>
      <c r="C33" s="14">
        <v>1960</v>
      </c>
    </row>
    <row r="34" spans="2:5" x14ac:dyDescent="0.25">
      <c r="B34" s="13" t="s">
        <v>314</v>
      </c>
      <c r="C34" s="14">
        <v>3880</v>
      </c>
      <c r="E34" s="19">
        <f>GETPIVOTDATA("Minecraft Season Pass Price",$B$30)</f>
        <v>3880</v>
      </c>
    </row>
    <row r="37" spans="2:5" x14ac:dyDescent="0.25">
      <c r="B37" s="17" t="s">
        <v>326</v>
      </c>
      <c r="C37" s="16"/>
    </row>
    <row r="39" spans="2:5" x14ac:dyDescent="0.25">
      <c r="B39" s="12" t="s">
        <v>15</v>
      </c>
      <c r="C39" t="s">
        <v>324</v>
      </c>
    </row>
    <row r="41" spans="2:5" x14ac:dyDescent="0.25">
      <c r="B41" s="12" t="s">
        <v>313</v>
      </c>
      <c r="C41" t="s">
        <v>325</v>
      </c>
    </row>
    <row r="42" spans="2:5" x14ac:dyDescent="0.25">
      <c r="B42" s="13" t="s">
        <v>22</v>
      </c>
      <c r="C42">
        <v>101</v>
      </c>
    </row>
    <row r="43" spans="2:5" x14ac:dyDescent="0.25">
      <c r="B43" s="13" t="s">
        <v>26</v>
      </c>
      <c r="C43">
        <v>96</v>
      </c>
    </row>
    <row r="44" spans="2:5" x14ac:dyDescent="0.25">
      <c r="B44" s="13" t="s">
        <v>18</v>
      </c>
      <c r="C44">
        <v>98</v>
      </c>
    </row>
    <row r="45" spans="2:5" x14ac:dyDescent="0.25">
      <c r="B45" s="13" t="s">
        <v>314</v>
      </c>
      <c r="C45">
        <v>295</v>
      </c>
    </row>
    <row r="48" spans="2:5" x14ac:dyDescent="0.25">
      <c r="B48" s="17" t="s">
        <v>327</v>
      </c>
      <c r="C48" s="16"/>
    </row>
    <row r="50" spans="2:4" x14ac:dyDescent="0.25">
      <c r="B50" s="12" t="s">
        <v>313</v>
      </c>
      <c r="C50" t="s">
        <v>328</v>
      </c>
      <c r="D50" t="s">
        <v>315</v>
      </c>
    </row>
    <row r="51" spans="2:4" x14ac:dyDescent="0.25">
      <c r="B51" s="13" t="s">
        <v>22</v>
      </c>
      <c r="C51" s="14">
        <v>61</v>
      </c>
      <c r="D51" s="14">
        <v>444</v>
      </c>
    </row>
    <row r="52" spans="2:4" x14ac:dyDescent="0.25">
      <c r="B52" s="13" t="s">
        <v>26</v>
      </c>
      <c r="C52" s="14">
        <v>1079</v>
      </c>
      <c r="D52" s="14">
        <v>1801</v>
      </c>
    </row>
    <row r="53" spans="2:4" x14ac:dyDescent="0.25">
      <c r="B53" s="13" t="s">
        <v>18</v>
      </c>
      <c r="C53" s="14">
        <v>982</v>
      </c>
      <c r="D53" s="14">
        <v>5388</v>
      </c>
    </row>
    <row r="54" spans="2:4" x14ac:dyDescent="0.25">
      <c r="B54" s="13" t="s">
        <v>314</v>
      </c>
      <c r="C54" s="14">
        <v>2122</v>
      </c>
      <c r="D54" s="14">
        <v>7633</v>
      </c>
    </row>
  </sheetData>
  <pageMargins left="0.511811024" right="0.511811024" top="0.78740157499999996" bottom="0.78740157499999996" header="0.31496062000000002" footer="0.31496062000000002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>
    <tabColor rgb="FFFFC000"/>
  </sheetPr>
  <dimension ref="A2:S393"/>
  <sheetViews>
    <sheetView showGridLines="0" showRowColHeaders="0" topLeftCell="A3" zoomScale="80" zoomScaleNormal="80" workbookViewId="0">
      <selection activeCell="W29" sqref="W29"/>
    </sheetView>
  </sheetViews>
  <sheetFormatPr defaultRowHeight="15" x14ac:dyDescent="0.25"/>
  <cols>
    <col min="1" max="1" width="28" style="4" customWidth="1"/>
    <col min="2" max="2" width="3.5703125" customWidth="1"/>
    <col min="12" max="12" width="6.5703125" customWidth="1"/>
  </cols>
  <sheetData>
    <row r="2" spans="1:19" ht="27" customHeight="1" thickBot="1" x14ac:dyDescent="0.5">
      <c r="C2" s="22" t="s">
        <v>319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21"/>
    </row>
    <row r="3" spans="1:19" ht="27" customHeight="1" thickTop="1" x14ac:dyDescent="0.25"/>
    <row r="4" spans="1:19" s="7" customFormat="1" x14ac:dyDescent="0.25">
      <c r="A4" s="4"/>
    </row>
    <row r="5" spans="1:19" s="7" customFormat="1" x14ac:dyDescent="0.25">
      <c r="A5" s="4"/>
    </row>
    <row r="6" spans="1:19" s="7" customFormat="1" x14ac:dyDescent="0.25">
      <c r="A6" s="4"/>
    </row>
    <row r="7" spans="1:19" s="7" customFormat="1" x14ac:dyDescent="0.25">
      <c r="A7" s="4"/>
    </row>
    <row r="8" spans="1:19" s="7" customForma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  <row r="192" spans="1:1" s="7" customFormat="1" x14ac:dyDescent="0.25">
      <c r="A192" s="4"/>
    </row>
    <row r="193" spans="1:1" s="7" customFormat="1" x14ac:dyDescent="0.25">
      <c r="A193" s="4"/>
    </row>
    <row r="194" spans="1:1" s="7" customFormat="1" x14ac:dyDescent="0.25">
      <c r="A194" s="4"/>
    </row>
    <row r="195" spans="1:1" s="7" customFormat="1" x14ac:dyDescent="0.25">
      <c r="A195" s="4"/>
    </row>
    <row r="196" spans="1:1" s="7" customFormat="1" x14ac:dyDescent="0.25">
      <c r="A196" s="4"/>
    </row>
    <row r="197" spans="1:1" s="7" customFormat="1" x14ac:dyDescent="0.25">
      <c r="A197" s="4"/>
    </row>
    <row r="198" spans="1:1" s="7" customFormat="1" x14ac:dyDescent="0.25">
      <c r="A198" s="4"/>
    </row>
    <row r="199" spans="1:1" s="7" customFormat="1" x14ac:dyDescent="0.25">
      <c r="A199" s="4"/>
    </row>
    <row r="200" spans="1:1" s="7" customFormat="1" x14ac:dyDescent="0.25">
      <c r="A200" s="4"/>
    </row>
    <row r="201" spans="1:1" s="7" customFormat="1" x14ac:dyDescent="0.25">
      <c r="A201" s="4"/>
    </row>
    <row r="202" spans="1:1" s="7" customFormat="1" x14ac:dyDescent="0.25">
      <c r="A202" s="4"/>
    </row>
    <row r="203" spans="1:1" s="7" customFormat="1" x14ac:dyDescent="0.25">
      <c r="A203" s="4"/>
    </row>
    <row r="204" spans="1:1" s="7" customFormat="1" x14ac:dyDescent="0.25">
      <c r="A204" s="4"/>
    </row>
    <row r="205" spans="1:1" s="7" customFormat="1" x14ac:dyDescent="0.25">
      <c r="A205" s="4"/>
    </row>
    <row r="206" spans="1:1" s="7" customFormat="1" x14ac:dyDescent="0.25">
      <c r="A206" s="4"/>
    </row>
    <row r="207" spans="1:1" s="7" customFormat="1" x14ac:dyDescent="0.25">
      <c r="A207" s="4"/>
    </row>
    <row r="208" spans="1:1" s="7" customFormat="1" x14ac:dyDescent="0.25">
      <c r="A208" s="4"/>
    </row>
    <row r="209" spans="1:1" s="7" customFormat="1" x14ac:dyDescent="0.25">
      <c r="A209" s="4"/>
    </row>
    <row r="210" spans="1:1" s="7" customFormat="1" x14ac:dyDescent="0.25">
      <c r="A210" s="4"/>
    </row>
    <row r="211" spans="1:1" s="7" customFormat="1" x14ac:dyDescent="0.25">
      <c r="A211" s="4"/>
    </row>
    <row r="212" spans="1:1" s="7" customFormat="1" x14ac:dyDescent="0.25">
      <c r="A212" s="4"/>
    </row>
    <row r="213" spans="1:1" s="7" customFormat="1" x14ac:dyDescent="0.25">
      <c r="A213" s="4"/>
    </row>
    <row r="214" spans="1:1" s="7" customFormat="1" x14ac:dyDescent="0.25">
      <c r="A214" s="4"/>
    </row>
    <row r="215" spans="1:1" s="7" customFormat="1" x14ac:dyDescent="0.25">
      <c r="A215" s="4"/>
    </row>
    <row r="216" spans="1:1" s="7" customFormat="1" x14ac:dyDescent="0.25">
      <c r="A216" s="4"/>
    </row>
    <row r="217" spans="1:1" s="7" customFormat="1" x14ac:dyDescent="0.25">
      <c r="A217" s="4"/>
    </row>
    <row r="218" spans="1:1" s="7" customFormat="1" x14ac:dyDescent="0.25">
      <c r="A218" s="4"/>
    </row>
    <row r="219" spans="1:1" s="7" customFormat="1" x14ac:dyDescent="0.25">
      <c r="A219" s="4"/>
    </row>
    <row r="220" spans="1:1" s="7" customFormat="1" x14ac:dyDescent="0.25">
      <c r="A220" s="4"/>
    </row>
    <row r="221" spans="1:1" s="7" customFormat="1" x14ac:dyDescent="0.25">
      <c r="A221" s="4"/>
    </row>
    <row r="222" spans="1:1" s="7" customFormat="1" x14ac:dyDescent="0.25">
      <c r="A222" s="4"/>
    </row>
    <row r="223" spans="1:1" s="7" customFormat="1" x14ac:dyDescent="0.25">
      <c r="A223" s="4"/>
    </row>
    <row r="224" spans="1:1" s="7" customFormat="1" x14ac:dyDescent="0.25">
      <c r="A224" s="4"/>
    </row>
    <row r="225" spans="1:1" s="7" customFormat="1" x14ac:dyDescent="0.25">
      <c r="A225" s="4"/>
    </row>
    <row r="226" spans="1:1" s="7" customFormat="1" x14ac:dyDescent="0.25">
      <c r="A226" s="4"/>
    </row>
    <row r="227" spans="1:1" s="7" customFormat="1" x14ac:dyDescent="0.25">
      <c r="A227" s="4"/>
    </row>
    <row r="228" spans="1:1" s="7" customFormat="1" x14ac:dyDescent="0.25">
      <c r="A228" s="4"/>
    </row>
    <row r="229" spans="1:1" s="7" customFormat="1" x14ac:dyDescent="0.25">
      <c r="A229" s="4"/>
    </row>
    <row r="230" spans="1:1" s="7" customFormat="1" x14ac:dyDescent="0.25">
      <c r="A230" s="4"/>
    </row>
    <row r="231" spans="1:1" s="7" customFormat="1" x14ac:dyDescent="0.25">
      <c r="A231" s="4"/>
    </row>
    <row r="232" spans="1:1" s="7" customFormat="1" x14ac:dyDescent="0.25">
      <c r="A232" s="4"/>
    </row>
    <row r="233" spans="1:1" s="7" customFormat="1" x14ac:dyDescent="0.25">
      <c r="A233" s="4"/>
    </row>
    <row r="234" spans="1:1" s="7" customFormat="1" x14ac:dyDescent="0.25">
      <c r="A234" s="4"/>
    </row>
    <row r="235" spans="1:1" s="7" customFormat="1" x14ac:dyDescent="0.25">
      <c r="A235" s="4"/>
    </row>
    <row r="236" spans="1:1" s="7" customFormat="1" x14ac:dyDescent="0.25">
      <c r="A236" s="4"/>
    </row>
    <row r="237" spans="1:1" s="7" customFormat="1" x14ac:dyDescent="0.25">
      <c r="A237" s="4"/>
    </row>
    <row r="238" spans="1:1" s="7" customFormat="1" x14ac:dyDescent="0.25">
      <c r="A238" s="4"/>
    </row>
    <row r="239" spans="1:1" s="7" customFormat="1" x14ac:dyDescent="0.25">
      <c r="A239" s="4"/>
    </row>
    <row r="240" spans="1:1" s="7" customFormat="1" x14ac:dyDescent="0.25">
      <c r="A240" s="4"/>
    </row>
    <row r="241" spans="1:1" s="7" customFormat="1" x14ac:dyDescent="0.25">
      <c r="A241" s="4"/>
    </row>
    <row r="242" spans="1:1" s="7" customFormat="1" x14ac:dyDescent="0.25">
      <c r="A242" s="4"/>
    </row>
    <row r="243" spans="1:1" s="7" customFormat="1" x14ac:dyDescent="0.25">
      <c r="A243" s="4"/>
    </row>
    <row r="244" spans="1:1" s="7" customFormat="1" x14ac:dyDescent="0.25">
      <c r="A244" s="4"/>
    </row>
    <row r="245" spans="1:1" s="7" customFormat="1" x14ac:dyDescent="0.25">
      <c r="A245" s="4"/>
    </row>
    <row r="246" spans="1:1" s="7" customFormat="1" x14ac:dyDescent="0.25">
      <c r="A246" s="4"/>
    </row>
    <row r="247" spans="1:1" s="7" customFormat="1" x14ac:dyDescent="0.25">
      <c r="A247" s="4"/>
    </row>
    <row r="248" spans="1:1" s="7" customFormat="1" x14ac:dyDescent="0.25">
      <c r="A248" s="4"/>
    </row>
    <row r="249" spans="1:1" s="7" customFormat="1" x14ac:dyDescent="0.25">
      <c r="A249" s="4"/>
    </row>
    <row r="250" spans="1:1" s="7" customFormat="1" x14ac:dyDescent="0.25">
      <c r="A250" s="4"/>
    </row>
    <row r="251" spans="1:1" s="7" customFormat="1" x14ac:dyDescent="0.25">
      <c r="A251" s="4"/>
    </row>
    <row r="252" spans="1:1" s="7" customFormat="1" x14ac:dyDescent="0.25">
      <c r="A252" s="4"/>
    </row>
    <row r="253" spans="1:1" s="7" customFormat="1" x14ac:dyDescent="0.25">
      <c r="A253" s="4"/>
    </row>
    <row r="254" spans="1:1" s="7" customFormat="1" x14ac:dyDescent="0.25">
      <c r="A254" s="4"/>
    </row>
    <row r="255" spans="1:1" s="7" customFormat="1" x14ac:dyDescent="0.25">
      <c r="A255" s="4"/>
    </row>
    <row r="256" spans="1:1" s="7" customFormat="1" x14ac:dyDescent="0.25">
      <c r="A256" s="4"/>
    </row>
    <row r="257" spans="1:1" s="7" customFormat="1" x14ac:dyDescent="0.25">
      <c r="A257" s="4"/>
    </row>
    <row r="258" spans="1:1" s="7" customFormat="1" x14ac:dyDescent="0.25">
      <c r="A258" s="4"/>
    </row>
    <row r="259" spans="1:1" s="7" customFormat="1" x14ac:dyDescent="0.25">
      <c r="A259" s="4"/>
    </row>
    <row r="260" spans="1:1" s="7" customFormat="1" x14ac:dyDescent="0.25">
      <c r="A260" s="4"/>
    </row>
    <row r="261" spans="1:1" s="7" customFormat="1" x14ac:dyDescent="0.25">
      <c r="A261" s="4"/>
    </row>
    <row r="262" spans="1:1" s="7" customFormat="1" x14ac:dyDescent="0.25">
      <c r="A262" s="4"/>
    </row>
    <row r="263" spans="1:1" s="7" customFormat="1" x14ac:dyDescent="0.25">
      <c r="A263" s="4"/>
    </row>
    <row r="264" spans="1:1" s="7" customFormat="1" x14ac:dyDescent="0.25">
      <c r="A264" s="4"/>
    </row>
    <row r="265" spans="1:1" s="7" customFormat="1" x14ac:dyDescent="0.25">
      <c r="A265" s="4"/>
    </row>
    <row r="266" spans="1:1" s="7" customFormat="1" x14ac:dyDescent="0.25">
      <c r="A266" s="4"/>
    </row>
    <row r="267" spans="1:1" s="7" customFormat="1" x14ac:dyDescent="0.25">
      <c r="A267" s="4"/>
    </row>
    <row r="268" spans="1:1" s="7" customFormat="1" x14ac:dyDescent="0.25">
      <c r="A268" s="4"/>
    </row>
    <row r="269" spans="1:1" s="7" customFormat="1" x14ac:dyDescent="0.25">
      <c r="A269" s="4"/>
    </row>
    <row r="270" spans="1:1" s="7" customFormat="1" x14ac:dyDescent="0.25">
      <c r="A270" s="4"/>
    </row>
    <row r="271" spans="1:1" s="7" customFormat="1" x14ac:dyDescent="0.25">
      <c r="A271" s="4"/>
    </row>
    <row r="272" spans="1:1" s="7" customFormat="1" x14ac:dyDescent="0.25">
      <c r="A272" s="4"/>
    </row>
    <row r="273" spans="1:1" s="7" customFormat="1" x14ac:dyDescent="0.25">
      <c r="A273" s="4"/>
    </row>
    <row r="274" spans="1:1" s="7" customFormat="1" x14ac:dyDescent="0.25">
      <c r="A274" s="4"/>
    </row>
    <row r="275" spans="1:1" s="7" customFormat="1" x14ac:dyDescent="0.25">
      <c r="A275" s="4"/>
    </row>
    <row r="276" spans="1:1" s="7" customFormat="1" x14ac:dyDescent="0.25">
      <c r="A276" s="4"/>
    </row>
    <row r="277" spans="1:1" s="7" customFormat="1" x14ac:dyDescent="0.25">
      <c r="A277" s="4"/>
    </row>
    <row r="278" spans="1:1" s="7" customFormat="1" x14ac:dyDescent="0.25">
      <c r="A278" s="4"/>
    </row>
    <row r="279" spans="1:1" s="7" customFormat="1" x14ac:dyDescent="0.25">
      <c r="A279" s="4"/>
    </row>
    <row r="280" spans="1:1" s="7" customFormat="1" x14ac:dyDescent="0.25">
      <c r="A280" s="4"/>
    </row>
    <row r="281" spans="1:1" s="7" customFormat="1" x14ac:dyDescent="0.25">
      <c r="A281" s="4"/>
    </row>
    <row r="282" spans="1:1" s="7" customFormat="1" x14ac:dyDescent="0.25">
      <c r="A282" s="4"/>
    </row>
    <row r="283" spans="1:1" s="7" customFormat="1" x14ac:dyDescent="0.25">
      <c r="A283" s="4"/>
    </row>
    <row r="284" spans="1:1" s="7" customFormat="1" x14ac:dyDescent="0.25">
      <c r="A284" s="4"/>
    </row>
    <row r="285" spans="1:1" s="7" customFormat="1" x14ac:dyDescent="0.25">
      <c r="A285" s="4"/>
    </row>
    <row r="286" spans="1:1" s="7" customFormat="1" x14ac:dyDescent="0.25">
      <c r="A286" s="4"/>
    </row>
    <row r="287" spans="1:1" s="7" customFormat="1" x14ac:dyDescent="0.25">
      <c r="A287" s="4"/>
    </row>
    <row r="288" spans="1:1" s="7" customFormat="1" x14ac:dyDescent="0.25">
      <c r="A288" s="4"/>
    </row>
    <row r="289" spans="1:1" s="7" customFormat="1" x14ac:dyDescent="0.25">
      <c r="A289" s="4"/>
    </row>
    <row r="290" spans="1:1" s="7" customFormat="1" x14ac:dyDescent="0.25">
      <c r="A290" s="4"/>
    </row>
    <row r="291" spans="1:1" s="7" customFormat="1" x14ac:dyDescent="0.25">
      <c r="A291" s="4"/>
    </row>
    <row r="292" spans="1:1" s="7" customFormat="1" x14ac:dyDescent="0.25">
      <c r="A292" s="4"/>
    </row>
    <row r="293" spans="1:1" s="7" customFormat="1" x14ac:dyDescent="0.25">
      <c r="A293" s="4"/>
    </row>
    <row r="294" spans="1:1" s="7" customFormat="1" x14ac:dyDescent="0.25">
      <c r="A294" s="4"/>
    </row>
    <row r="295" spans="1:1" s="7" customFormat="1" x14ac:dyDescent="0.25">
      <c r="A295" s="4"/>
    </row>
    <row r="296" spans="1:1" s="7" customFormat="1" x14ac:dyDescent="0.25">
      <c r="A296" s="4"/>
    </row>
    <row r="297" spans="1:1" s="7" customFormat="1" x14ac:dyDescent="0.25">
      <c r="A297" s="4"/>
    </row>
    <row r="298" spans="1:1" s="7" customFormat="1" x14ac:dyDescent="0.25">
      <c r="A298" s="4"/>
    </row>
    <row r="299" spans="1:1" s="7" customFormat="1" x14ac:dyDescent="0.25">
      <c r="A299" s="4"/>
    </row>
    <row r="300" spans="1:1" s="7" customFormat="1" x14ac:dyDescent="0.25">
      <c r="A300" s="4"/>
    </row>
    <row r="301" spans="1:1" s="7" customFormat="1" x14ac:dyDescent="0.25">
      <c r="A301" s="4"/>
    </row>
    <row r="302" spans="1:1" s="7" customFormat="1" x14ac:dyDescent="0.25">
      <c r="A302" s="4"/>
    </row>
    <row r="303" spans="1:1" s="7" customFormat="1" x14ac:dyDescent="0.25">
      <c r="A303" s="4"/>
    </row>
    <row r="304" spans="1:1" s="7" customFormat="1" x14ac:dyDescent="0.25">
      <c r="A304" s="4"/>
    </row>
    <row r="305" spans="1:1" s="7" customFormat="1" x14ac:dyDescent="0.25">
      <c r="A305" s="4"/>
    </row>
    <row r="306" spans="1:1" s="7" customFormat="1" x14ac:dyDescent="0.25">
      <c r="A306" s="4"/>
    </row>
    <row r="307" spans="1:1" s="7" customFormat="1" x14ac:dyDescent="0.25">
      <c r="A307" s="4"/>
    </row>
    <row r="308" spans="1:1" s="7" customFormat="1" x14ac:dyDescent="0.25">
      <c r="A308" s="4"/>
    </row>
    <row r="309" spans="1:1" s="7" customFormat="1" x14ac:dyDescent="0.25">
      <c r="A309" s="4"/>
    </row>
    <row r="310" spans="1:1" s="7" customFormat="1" x14ac:dyDescent="0.25">
      <c r="A310" s="4"/>
    </row>
    <row r="311" spans="1:1" s="7" customFormat="1" x14ac:dyDescent="0.25">
      <c r="A311" s="4"/>
    </row>
    <row r="312" spans="1:1" s="7" customFormat="1" x14ac:dyDescent="0.25">
      <c r="A312" s="4"/>
    </row>
    <row r="313" spans="1:1" s="7" customFormat="1" x14ac:dyDescent="0.25">
      <c r="A313" s="4"/>
    </row>
    <row r="314" spans="1:1" s="7" customFormat="1" x14ac:dyDescent="0.25">
      <c r="A314" s="4"/>
    </row>
    <row r="315" spans="1:1" s="7" customFormat="1" x14ac:dyDescent="0.25">
      <c r="A315" s="4"/>
    </row>
    <row r="316" spans="1:1" s="7" customFormat="1" x14ac:dyDescent="0.25">
      <c r="A316" s="4"/>
    </row>
    <row r="317" spans="1:1" s="7" customFormat="1" x14ac:dyDescent="0.25">
      <c r="A317" s="4"/>
    </row>
    <row r="318" spans="1:1" s="7" customFormat="1" x14ac:dyDescent="0.25">
      <c r="A318" s="4"/>
    </row>
    <row r="319" spans="1:1" s="7" customFormat="1" x14ac:dyDescent="0.25">
      <c r="A319" s="4"/>
    </row>
    <row r="320" spans="1:1" s="7" customFormat="1" x14ac:dyDescent="0.25">
      <c r="A320" s="4"/>
    </row>
    <row r="321" spans="1:1" s="7" customFormat="1" x14ac:dyDescent="0.25">
      <c r="A321" s="4"/>
    </row>
    <row r="322" spans="1:1" s="7" customFormat="1" x14ac:dyDescent="0.25">
      <c r="A322" s="4"/>
    </row>
    <row r="323" spans="1:1" s="7" customFormat="1" x14ac:dyDescent="0.25">
      <c r="A323" s="4"/>
    </row>
    <row r="324" spans="1:1" s="7" customFormat="1" x14ac:dyDescent="0.25">
      <c r="A324" s="4"/>
    </row>
    <row r="325" spans="1:1" s="7" customFormat="1" x14ac:dyDescent="0.25">
      <c r="A325" s="4"/>
    </row>
    <row r="326" spans="1:1" s="7" customFormat="1" x14ac:dyDescent="0.25">
      <c r="A326" s="4"/>
    </row>
    <row r="327" spans="1:1" s="7" customFormat="1" x14ac:dyDescent="0.25">
      <c r="A327" s="4"/>
    </row>
    <row r="328" spans="1:1" s="7" customFormat="1" x14ac:dyDescent="0.25">
      <c r="A328" s="4"/>
    </row>
    <row r="329" spans="1:1" s="7" customFormat="1" x14ac:dyDescent="0.25">
      <c r="A329" s="4"/>
    </row>
    <row r="330" spans="1:1" s="7" customFormat="1" x14ac:dyDescent="0.25">
      <c r="A330" s="4"/>
    </row>
    <row r="331" spans="1:1" s="7" customFormat="1" x14ac:dyDescent="0.25">
      <c r="A331" s="4"/>
    </row>
    <row r="332" spans="1:1" s="7" customFormat="1" x14ac:dyDescent="0.25">
      <c r="A332" s="4"/>
    </row>
    <row r="333" spans="1:1" s="7" customFormat="1" x14ac:dyDescent="0.25">
      <c r="A333" s="4"/>
    </row>
    <row r="334" spans="1:1" s="7" customFormat="1" x14ac:dyDescent="0.25">
      <c r="A334" s="4"/>
    </row>
    <row r="335" spans="1:1" s="7" customFormat="1" x14ac:dyDescent="0.25">
      <c r="A335" s="4"/>
    </row>
    <row r="336" spans="1:1" s="7" customFormat="1" x14ac:dyDescent="0.25">
      <c r="A336" s="4"/>
    </row>
    <row r="337" spans="1:1" s="7" customFormat="1" x14ac:dyDescent="0.25">
      <c r="A337" s="4"/>
    </row>
    <row r="338" spans="1:1" s="7" customFormat="1" x14ac:dyDescent="0.25">
      <c r="A338" s="4"/>
    </row>
    <row r="339" spans="1:1" s="7" customFormat="1" x14ac:dyDescent="0.25">
      <c r="A339" s="4"/>
    </row>
    <row r="340" spans="1:1" s="7" customFormat="1" x14ac:dyDescent="0.25">
      <c r="A340" s="4"/>
    </row>
    <row r="341" spans="1:1" s="7" customFormat="1" x14ac:dyDescent="0.25">
      <c r="A341" s="4"/>
    </row>
    <row r="342" spans="1:1" s="7" customFormat="1" x14ac:dyDescent="0.25">
      <c r="A342" s="4"/>
    </row>
    <row r="343" spans="1:1" s="7" customFormat="1" x14ac:dyDescent="0.25">
      <c r="A343" s="4"/>
    </row>
    <row r="344" spans="1:1" s="7" customFormat="1" x14ac:dyDescent="0.25">
      <c r="A344" s="4"/>
    </row>
    <row r="345" spans="1:1" s="7" customFormat="1" x14ac:dyDescent="0.25">
      <c r="A345" s="4"/>
    </row>
    <row r="346" spans="1:1" s="7" customFormat="1" x14ac:dyDescent="0.25">
      <c r="A346" s="4"/>
    </row>
    <row r="347" spans="1:1" s="7" customFormat="1" x14ac:dyDescent="0.25">
      <c r="A347" s="4"/>
    </row>
    <row r="348" spans="1:1" s="7" customFormat="1" x14ac:dyDescent="0.25">
      <c r="A348" s="4"/>
    </row>
    <row r="349" spans="1:1" s="7" customFormat="1" x14ac:dyDescent="0.25">
      <c r="A349" s="4"/>
    </row>
    <row r="350" spans="1:1" s="7" customFormat="1" x14ac:dyDescent="0.25">
      <c r="A350" s="4"/>
    </row>
    <row r="351" spans="1:1" s="7" customFormat="1" x14ac:dyDescent="0.25">
      <c r="A351" s="4"/>
    </row>
    <row r="352" spans="1:1" s="7" customFormat="1" x14ac:dyDescent="0.25">
      <c r="A352" s="4"/>
    </row>
    <row r="353" spans="1:1" s="7" customFormat="1" x14ac:dyDescent="0.25">
      <c r="A353" s="4"/>
    </row>
    <row r="354" spans="1:1" s="7" customFormat="1" x14ac:dyDescent="0.25">
      <c r="A354" s="4"/>
    </row>
    <row r="355" spans="1:1" s="7" customFormat="1" x14ac:dyDescent="0.25">
      <c r="A355" s="4"/>
    </row>
    <row r="356" spans="1:1" s="7" customFormat="1" x14ac:dyDescent="0.25">
      <c r="A356" s="4"/>
    </row>
    <row r="357" spans="1:1" s="7" customFormat="1" x14ac:dyDescent="0.25">
      <c r="A357" s="4"/>
    </row>
    <row r="358" spans="1:1" s="7" customFormat="1" x14ac:dyDescent="0.25">
      <c r="A358" s="4"/>
    </row>
    <row r="359" spans="1:1" s="7" customFormat="1" x14ac:dyDescent="0.25">
      <c r="A359" s="4"/>
    </row>
    <row r="360" spans="1:1" s="7" customFormat="1" x14ac:dyDescent="0.25">
      <c r="A360" s="4"/>
    </row>
    <row r="361" spans="1:1" s="7" customFormat="1" x14ac:dyDescent="0.25">
      <c r="A361" s="4"/>
    </row>
    <row r="362" spans="1:1" s="7" customFormat="1" x14ac:dyDescent="0.25">
      <c r="A362" s="4"/>
    </row>
    <row r="363" spans="1:1" s="7" customFormat="1" x14ac:dyDescent="0.25">
      <c r="A363" s="4"/>
    </row>
    <row r="364" spans="1:1" s="7" customFormat="1" x14ac:dyDescent="0.25">
      <c r="A364" s="4"/>
    </row>
    <row r="365" spans="1:1" s="7" customFormat="1" x14ac:dyDescent="0.25">
      <c r="A365" s="4"/>
    </row>
    <row r="366" spans="1:1" s="7" customFormat="1" x14ac:dyDescent="0.25">
      <c r="A366" s="4"/>
    </row>
    <row r="367" spans="1:1" s="7" customFormat="1" x14ac:dyDescent="0.25">
      <c r="A367" s="4"/>
    </row>
    <row r="368" spans="1:1" s="7" customFormat="1" x14ac:dyDescent="0.25">
      <c r="A368" s="4"/>
    </row>
    <row r="369" spans="1:1" s="7" customFormat="1" x14ac:dyDescent="0.25">
      <c r="A369" s="4"/>
    </row>
    <row r="370" spans="1:1" s="7" customFormat="1" x14ac:dyDescent="0.25">
      <c r="A370" s="4"/>
    </row>
    <row r="371" spans="1:1" s="7" customFormat="1" x14ac:dyDescent="0.25">
      <c r="A371" s="4"/>
    </row>
    <row r="372" spans="1:1" s="7" customFormat="1" x14ac:dyDescent="0.25">
      <c r="A372" s="4"/>
    </row>
    <row r="373" spans="1:1" s="7" customFormat="1" x14ac:dyDescent="0.25">
      <c r="A373" s="4"/>
    </row>
    <row r="374" spans="1:1" s="7" customFormat="1" x14ac:dyDescent="0.25">
      <c r="A374" s="4"/>
    </row>
    <row r="375" spans="1:1" s="7" customFormat="1" x14ac:dyDescent="0.25">
      <c r="A375" s="4"/>
    </row>
    <row r="376" spans="1:1" s="7" customFormat="1" x14ac:dyDescent="0.25">
      <c r="A376" s="4"/>
    </row>
    <row r="377" spans="1:1" s="7" customFormat="1" x14ac:dyDescent="0.25">
      <c r="A377" s="4"/>
    </row>
    <row r="378" spans="1:1" s="7" customFormat="1" x14ac:dyDescent="0.25">
      <c r="A378" s="4"/>
    </row>
    <row r="379" spans="1:1" s="7" customFormat="1" x14ac:dyDescent="0.25">
      <c r="A379" s="4"/>
    </row>
    <row r="380" spans="1:1" s="7" customFormat="1" x14ac:dyDescent="0.25">
      <c r="A380" s="4"/>
    </row>
    <row r="381" spans="1:1" s="7" customFormat="1" x14ac:dyDescent="0.25">
      <c r="A381" s="4"/>
    </row>
    <row r="382" spans="1:1" s="7" customFormat="1" x14ac:dyDescent="0.25">
      <c r="A382" s="4"/>
    </row>
    <row r="383" spans="1:1" s="7" customFormat="1" x14ac:dyDescent="0.25">
      <c r="A383" s="4"/>
    </row>
    <row r="384" spans="1:1" s="7" customFormat="1" x14ac:dyDescent="0.25">
      <c r="A384" s="4"/>
    </row>
    <row r="385" spans="1:1" s="7" customFormat="1" x14ac:dyDescent="0.25">
      <c r="A385" s="4"/>
    </row>
    <row r="386" spans="1:1" s="7" customFormat="1" x14ac:dyDescent="0.25">
      <c r="A386" s="4"/>
    </row>
    <row r="387" spans="1:1" s="7" customFormat="1" x14ac:dyDescent="0.25">
      <c r="A387" s="4"/>
    </row>
    <row r="388" spans="1:1" s="7" customFormat="1" x14ac:dyDescent="0.25">
      <c r="A388" s="4"/>
    </row>
    <row r="389" spans="1:1" s="7" customFormat="1" x14ac:dyDescent="0.25">
      <c r="A389" s="4"/>
    </row>
    <row r="390" spans="1:1" s="7" customFormat="1" x14ac:dyDescent="0.25">
      <c r="A390" s="4"/>
    </row>
    <row r="391" spans="1:1" s="7" customFormat="1" x14ac:dyDescent="0.25">
      <c r="A391" s="4"/>
    </row>
    <row r="392" spans="1:1" s="7" customFormat="1" x14ac:dyDescent="0.25">
      <c r="A392" s="4"/>
    </row>
    <row r="393" spans="1:1" s="7" customFormat="1" x14ac:dyDescent="0.25">
      <c r="A393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Eleilton Santos</cp:lastModifiedBy>
  <dcterms:created xsi:type="dcterms:W3CDTF">2024-12-19T13:13:10Z</dcterms:created>
  <dcterms:modified xsi:type="dcterms:W3CDTF">2025-12-19T15:36:21Z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